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hew.godia/Downloads/"/>
    </mc:Choice>
  </mc:AlternateContent>
  <xr:revisionPtr revIDLastSave="0" documentId="13_ncr:1_{859DEAA3-0929-DF41-AEB3-54F378B8D57F}" xr6:coauthVersionLast="47" xr6:coauthVersionMax="47" xr10:uidLastSave="{00000000-0000-0000-0000-000000000000}"/>
  <bookViews>
    <workbookView xWindow="0" yWindow="500" windowWidth="38400" windowHeight="21100" xr2:uid="{24552E1C-94D0-7F46-B8A4-18A18B78A034}"/>
  </bookViews>
  <sheets>
    <sheet name="Master" sheetId="4" r:id="rId1"/>
    <sheet name="Now" sheetId="2" r:id="rId2"/>
    <sheet name="Next" sheetId="3" r:id="rId3"/>
    <sheet name="Later" sheetId="1" r:id="rId4"/>
    <sheet name="Capabilities" sheetId="5" r:id="rId5"/>
    <sheet name="Phase" sheetId="6" r:id="rId6"/>
  </sheets>
  <definedNames>
    <definedName name="_xlnm._FilterDatabase" localSheetId="0" hidden="1">Master!$A$1:$G$63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0" i="4" l="1"/>
  <c r="F61" i="4"/>
  <c r="F62" i="4"/>
  <c r="F63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8" i="4"/>
  <c r="G52" i="4"/>
  <c r="G53" i="4"/>
  <c r="G54" i="4"/>
  <c r="G55" i="4"/>
  <c r="G56" i="4"/>
  <c r="G57" i="4"/>
  <c r="G59" i="4"/>
  <c r="G60" i="4"/>
  <c r="G61" i="4"/>
  <c r="G62" i="4"/>
  <c r="G63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8" i="4"/>
  <c r="F52" i="4"/>
  <c r="F53" i="4"/>
  <c r="F54" i="4"/>
  <c r="F55" i="4"/>
  <c r="F56" i="4"/>
  <c r="F57" i="4"/>
  <c r="F59" i="4"/>
  <c r="G18" i="4"/>
  <c r="G19" i="4"/>
  <c r="G20" i="4"/>
  <c r="G21" i="4"/>
  <c r="G22" i="4"/>
  <c r="G23" i="4"/>
  <c r="G24" i="4"/>
  <c r="G25" i="4"/>
  <c r="G26" i="4"/>
  <c r="G27" i="4"/>
  <c r="G28" i="4"/>
  <c r="G29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8" i="4"/>
  <c r="F9" i="4"/>
  <c r="F10" i="4"/>
  <c r="F11" i="4"/>
  <c r="F12" i="4"/>
  <c r="F13" i="4"/>
  <c r="F14" i="4"/>
  <c r="F15" i="4"/>
  <c r="F16" i="4"/>
  <c r="F17" i="4"/>
  <c r="F18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F3" i="4"/>
  <c r="F4" i="4"/>
  <c r="F5" i="4"/>
  <c r="F6" i="4"/>
  <c r="F7" i="4"/>
  <c r="G2" i="4"/>
  <c r="F2" i="4"/>
  <c r="A2" i="1" l="1" a="1"/>
  <c r="A2" i="1" s="1"/>
  <c r="A2" i="2" a="1"/>
  <c r="A2" i="2" s="1"/>
  <c r="A2" i="3" a="1"/>
  <c r="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<sst xmlns="http://schemas.openxmlformats.org/spreadsheetml/2006/main" count="335" uniqueCount="86">
  <si>
    <t>Feature</t>
  </si>
  <si>
    <t>Application</t>
  </si>
  <si>
    <t>Start Date</t>
  </si>
  <si>
    <t>End Date</t>
  </si>
  <si>
    <t>Requested By</t>
  </si>
  <si>
    <t>Phase</t>
  </si>
  <si>
    <t>Cruise Reports</t>
  </si>
  <si>
    <t>Cruise</t>
  </si>
  <si>
    <t>Printing of GCAA licences in HQ</t>
  </si>
  <si>
    <t>Crew Pulse IMprovements</t>
  </si>
  <si>
    <t>Crew Pulse</t>
  </si>
  <si>
    <t>Crew Pulse - eTechLog onboarded features</t>
  </si>
  <si>
    <t>Now</t>
  </si>
  <si>
    <t xml:space="preserve">Duty overlap report </t>
  </si>
  <si>
    <t>FO</t>
  </si>
  <si>
    <t>Notifiations to Crew based on the A/C registration number.</t>
  </si>
  <si>
    <t>Crew Pulse - submission of EL, PTLB and Parental leave</t>
  </si>
  <si>
    <t xml:space="preserve">FCL - Variation flights for CC to also show on Captain roster and marked appropriately </t>
  </si>
  <si>
    <t>Cruise - Crew List Data Element</t>
  </si>
  <si>
    <t xml:space="preserve">Chatbot to manage Crew calls during disruption based on criticality
Notification improvements 
</t>
  </si>
  <si>
    <t>Pre-EK airline</t>
  </si>
  <si>
    <t>Crew Pulse Check-in Requirement - Discussion on New Features</t>
  </si>
  <si>
    <t>GCAA Service - Approved Date</t>
  </si>
  <si>
    <t xml:space="preserve">FCL - Automation of TMS codes update
</t>
  </si>
  <si>
    <t xml:space="preserve">Crew Pulse </t>
  </si>
  <si>
    <t>Crew ops/ Fleet Crew Pulse - My Flight Docs</t>
  </si>
  <si>
    <t>Later</t>
  </si>
  <si>
    <t>Next</t>
  </si>
  <si>
    <t xml:space="preserve"> Cruise</t>
  </si>
  <si>
    <t>eSwap</t>
  </si>
  <si>
    <t>Employee from EK Grade moved to Cabin Crew Grade</t>
  </si>
  <si>
    <t>Paradise</t>
  </si>
  <si>
    <t>Coruson flow to Paradise and SAFE historical data</t>
  </si>
  <si>
    <t>My Flight Documents - GCAA Attestation - Phase 2</t>
  </si>
  <si>
    <t>Push notifications to stakeholders when there are comments posted under respective articles</t>
  </si>
  <si>
    <t>Coruson</t>
  </si>
  <si>
    <t>Showing XXO (Day off) on Roster</t>
  </si>
  <si>
    <t xml:space="preserve">Real-time Crew Interaction Monitoring of articles </t>
  </si>
  <si>
    <t>Like and Love feature of the comments and article</t>
  </si>
  <si>
    <t>CMC Auto Qualification Update for Cabin Crew</t>
  </si>
  <si>
    <t>E-attestation to MFD on Crew Pulse</t>
  </si>
  <si>
    <t>CMC Digital to MFD on Crew Pulse</t>
  </si>
  <si>
    <t>Personal Travel and Duty Overlap Enhancement</t>
  </si>
  <si>
    <t xml:space="preserve">Coruson Go Live with CAR Reports </t>
  </si>
  <si>
    <t xml:space="preserve">Auto Calculation of Attendance Matrix </t>
  </si>
  <si>
    <t>Text to Speech</t>
  </si>
  <si>
    <t xml:space="preserve">Flights requiring acclimatization </t>
  </si>
  <si>
    <t>SD</t>
  </si>
  <si>
    <t>Broadcast Reels</t>
  </si>
  <si>
    <t xml:space="preserve">Push notification to select crew and flights (Crew Hotel Survey) </t>
  </si>
  <si>
    <t>Podcasts</t>
  </si>
  <si>
    <t>New Engagement Calendar</t>
  </si>
  <si>
    <t>Crew Pulse restricted access</t>
  </si>
  <si>
    <t>Chatbot &amp; Live Chat</t>
  </si>
  <si>
    <t>Crew Connect Token Request</t>
  </si>
  <si>
    <t>Crew Pulse module for Crew Connect Services</t>
  </si>
  <si>
    <t xml:space="preserve">Multiple Sub Incidents in One Incident </t>
  </si>
  <si>
    <t xml:space="preserve">Chatbot to have automation on alerts for concern Alerts </t>
  </si>
  <si>
    <t xml:space="preserve">Crew to Report SK via Crew Pulse </t>
  </si>
  <si>
    <t xml:space="preserve">Destination Pages - Contextualised Content to Cabin Crew </t>
  </si>
  <si>
    <t xml:space="preserve">Engagement Countdown Feature </t>
  </si>
  <si>
    <t>Capability</t>
  </si>
  <si>
    <t>Roster</t>
  </si>
  <si>
    <t>Crew Comms. &amp; Engagement</t>
  </si>
  <si>
    <t>Performance &amp; HR</t>
  </si>
  <si>
    <t>Pre-Flight (Day of Ops)</t>
  </si>
  <si>
    <t>Duty Preparation</t>
  </si>
  <si>
    <t>Post-Flight</t>
  </si>
  <si>
    <t>FCL- ELP qualification not be updated with TA validity for Typerating/fleet transfer</t>
  </si>
  <si>
    <t xml:space="preserve">My Crew Function </t>
  </si>
  <si>
    <t>UAE national new joiner pilots not to receive Foreign conversion alert when PPCINI is added in IOB.</t>
  </si>
  <si>
    <t>Safety &amp; Emergency</t>
  </si>
  <si>
    <t>Flight Crew Recency</t>
  </si>
  <si>
    <t>Access to SOPs</t>
  </si>
  <si>
    <t>Locate Crew</t>
  </si>
  <si>
    <t>Disruption Mode - Roster Changes and Flight Changes</t>
  </si>
  <si>
    <t>Crew Bus Tracking (Cabin Crew Landside Transport)</t>
  </si>
  <si>
    <t>Flight Details 2.0:  Wake-up/Pick up time</t>
  </si>
  <si>
    <t>Flight Details 2.0:  Crew Hotel</t>
  </si>
  <si>
    <t>Flight Details 2.0:  Crew Rest</t>
  </si>
  <si>
    <t>Flight Details 2.0: Service Details Enhancements</t>
  </si>
  <si>
    <t>Safe Talk</t>
  </si>
  <si>
    <t>Aircraft Details 2.0</t>
  </si>
  <si>
    <t>Widgets</t>
  </si>
  <si>
    <t>Microlearning</t>
  </si>
  <si>
    <t>Crew Meal Pre-Order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</si>
</sst>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/>
    <xf numFmtId="49" fontId="0" fillId="0" borderId="1" xfId="0" applyNumberFormat="1" applyBorder="1"/>
    <xf numFmtId="49" fontId="0" fillId="0" borderId="0" xfId="0" applyNumberFormat="1"/>
    <xf numFmtId="14" fontId="1" fillId="2" borderId="1" xfId="0" applyNumberFormat="1" applyFont="1" applyFill="1" applyBorder="1"/>
    <xf numFmtId="14" fontId="0" fillId="0" borderId="1" xfId="0" applyNumberFormat="1" applyBorder="1"/>
    <xf numFmtId="14" fontId="0" fillId="0" borderId="0" xfId="0" applyNumberFormat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1011-0947-B647-840C-CF1A9F40C7EC}">
  <dimension ref="A1:G99"/>
  <sheetViews>
    <sheetView tabSelected="1" zoomScale="120" zoomScaleNormal="120" workbookViewId="0">
      <selection activeCell="D11" sqref="D11"/>
    </sheetView>
  </sheetViews>
  <sheetFormatPr baseColWidth="10" defaultRowHeight="16" x14ac:dyDescent="0.2"/>
  <cols>
    <col min="1" max="1" width="24.5" style="10" bestFit="1" customWidth="1"/>
    <col min="2" max="2" width="53.83203125" customWidth="1"/>
    <col min="3" max="3" width="17.5" bestFit="1" customWidth="1"/>
    <col min="4" max="4" width="15.33203125" customWidth="1"/>
    <col min="5" max="5" width="12.1640625" customWidth="1"/>
    <col min="6" max="6" width="15.1640625" style="13" customWidth="1"/>
    <col min="7" max="7" width="12.5" style="13" customWidth="1"/>
  </cols>
  <sheetData>
    <row r="1" spans="1:7" ht="19" x14ac:dyDescent="0.25">
      <c r="A1" s="8" t="s">
        <v>61</v>
      </c>
      <c r="B1" s="2" t="s">
        <v>0</v>
      </c>
      <c r="C1" s="2" t="s">
        <v>1</v>
      </c>
      <c r="D1" s="2" t="s">
        <v>4</v>
      </c>
      <c r="E1" s="2" t="s">
        <v>5</v>
      </c>
      <c r="F1" s="11" t="s">
        <v>2</v>
      </c>
      <c r="G1" s="11" t="s">
        <v>3</v>
      </c>
    </row>
    <row r="2" spans="1:7" ht="17" x14ac:dyDescent="0.2">
      <c r="A2" s="9"/>
      <c r="B2" s="4" t="s">
        <v>6</v>
      </c>
      <c r="C2" s="3" t="s">
        <v>7</v>
      </c>
      <c r="D2" s="3" t="s">
        <v>14</v>
      </c>
      <c r="E2" s="3" t="s">
        <v>12</v>
      </c>
      <c r="F2" s="12">
        <f>_xlfn.XLOOKUP(E2, Phase!A$2:A$4, Phase!B$2:B$4,"")</f>
        <v>45847</v>
      </c>
      <c r="G2" s="12">
        <f>_xlfn.XLOOKUP(E2, Phase!A$2:A$4, Phase!C$2:C$4,"")</f>
        <v>45930</v>
      </c>
    </row>
    <row r="3" spans="1:7" ht="17" x14ac:dyDescent="0.2">
      <c r="A3" s="9" t="s">
        <v>62</v>
      </c>
      <c r="B3" s="5" t="s">
        <v>72</v>
      </c>
      <c r="C3" s="3" t="s">
        <v>10</v>
      </c>
      <c r="D3" s="3" t="s">
        <v>14</v>
      </c>
      <c r="E3" s="3" t="s">
        <v>12</v>
      </c>
      <c r="F3" s="12">
        <f>_xlfn.XLOOKUP(E3, Phase!A$2:A$4, Phase!B$2:B$4,"")</f>
        <v>45847</v>
      </c>
      <c r="G3" s="12">
        <f>_xlfn.XLOOKUP(E3, Phase!A$2:A$4, Phase!C$2:C$4,"")</f>
        <v>45930</v>
      </c>
    </row>
    <row r="4" spans="1:7" ht="17" x14ac:dyDescent="0.2">
      <c r="A4" s="9"/>
      <c r="B4" s="4" t="s">
        <v>8</v>
      </c>
      <c r="C4" s="3" t="s">
        <v>7</v>
      </c>
      <c r="D4" s="3" t="s">
        <v>14</v>
      </c>
      <c r="E4" s="3" t="s">
        <v>12</v>
      </c>
      <c r="F4" s="12">
        <f>_xlfn.XLOOKUP(E4, Phase!A$2:A$4, Phase!B$2:B$4,"")</f>
        <v>45847</v>
      </c>
      <c r="G4" s="12">
        <f>_xlfn.XLOOKUP(E4, Phase!A$2:A$4, Phase!C$2:C$4,"")</f>
        <v>45930</v>
      </c>
    </row>
    <row r="5" spans="1:7" ht="17" x14ac:dyDescent="0.2">
      <c r="A5" s="9"/>
      <c r="B5" s="4" t="s">
        <v>9</v>
      </c>
      <c r="C5" s="3" t="s">
        <v>7</v>
      </c>
      <c r="D5" s="3" t="s">
        <v>14</v>
      </c>
      <c r="E5" s="3" t="s">
        <v>12</v>
      </c>
      <c r="F5" s="12">
        <f>_xlfn.XLOOKUP(E5, Phase!A$2:A$4, Phase!B$2:B$4,"")</f>
        <v>45847</v>
      </c>
      <c r="G5" s="12">
        <f>_xlfn.XLOOKUP(E5, Phase!A$2:A$4, Phase!C$2:C$4,"")</f>
        <v>45930</v>
      </c>
    </row>
    <row r="6" spans="1:7" ht="17" x14ac:dyDescent="0.2">
      <c r="A6" s="9"/>
      <c r="B6" s="4" t="s">
        <v>11</v>
      </c>
      <c r="C6" s="3" t="s">
        <v>10</v>
      </c>
      <c r="D6" s="3" t="s">
        <v>14</v>
      </c>
      <c r="E6" s="3" t="s">
        <v>12</v>
      </c>
      <c r="F6" s="12">
        <f>_xlfn.XLOOKUP(E6, Phase!A$2:A$4, Phase!B$2:B$4,"")</f>
        <v>45847</v>
      </c>
      <c r="G6" s="12">
        <f>_xlfn.XLOOKUP(E6, Phase!A$2:A$4, Phase!C$2:C$4,"")</f>
        <v>45930</v>
      </c>
    </row>
    <row r="7" spans="1:7" ht="17" x14ac:dyDescent="0.2">
      <c r="A7" s="9"/>
      <c r="B7" s="4" t="s">
        <v>13</v>
      </c>
      <c r="C7" s="3" t="s">
        <v>7</v>
      </c>
      <c r="D7" s="3" t="s">
        <v>14</v>
      </c>
      <c r="E7" s="3" t="s">
        <v>12</v>
      </c>
      <c r="F7" s="12">
        <f>_xlfn.XLOOKUP(E7, Phase!A$2:A$4, Phase!B$2:B$4,"")</f>
        <v>45847</v>
      </c>
      <c r="G7" s="12">
        <f>_xlfn.XLOOKUP(E7, Phase!A$2:A$4, Phase!C$2:C$4,"")</f>
        <v>45930</v>
      </c>
    </row>
    <row r="8" spans="1:7" ht="17" x14ac:dyDescent="0.2">
      <c r="A8" s="9" t="s">
        <v>63</v>
      </c>
      <c r="B8" s="5" t="s">
        <v>15</v>
      </c>
      <c r="C8" s="3" t="s">
        <v>10</v>
      </c>
      <c r="D8" s="3" t="s">
        <v>14</v>
      </c>
      <c r="E8" s="3" t="s">
        <v>26</v>
      </c>
      <c r="F8" s="12">
        <f>_xlfn.XLOOKUP(E8, Phase!A$2:A$4, Phase!B$2:B$4,"")</f>
        <v>46029</v>
      </c>
      <c r="G8" s="12">
        <f>_xlfn.XLOOKUP(E8, Phase!A$2:A$4, Phase!C$2:C$4,"")</f>
        <v>46142</v>
      </c>
    </row>
    <row r="9" spans="1:7" ht="34" x14ac:dyDescent="0.2">
      <c r="A9" s="9"/>
      <c r="B9" s="4" t="s">
        <v>68</v>
      </c>
      <c r="C9" s="3" t="s">
        <v>7</v>
      </c>
      <c r="D9" s="3" t="s">
        <v>14</v>
      </c>
      <c r="E9" s="3" t="s">
        <v>12</v>
      </c>
      <c r="F9" s="12">
        <f>_xlfn.XLOOKUP(E9, Phase!A$2:A$4, Phase!B$2:B$4,"")</f>
        <v>45847</v>
      </c>
      <c r="G9" s="12">
        <f>_xlfn.XLOOKUP(E9, Phase!A$2:A$4, Phase!C$2:C$4,"")</f>
        <v>45930</v>
      </c>
    </row>
    <row r="10" spans="1:7" ht="17" x14ac:dyDescent="0.2">
      <c r="A10" s="9" t="s">
        <v>64</v>
      </c>
      <c r="B10" s="5" t="s">
        <v>16</v>
      </c>
      <c r="C10" s="3" t="s">
        <v>10</v>
      </c>
      <c r="D10" s="3" t="s">
        <v>14</v>
      </c>
      <c r="E10" s="3" t="s">
        <v>26</v>
      </c>
      <c r="F10" s="12">
        <f>_xlfn.XLOOKUP(E10, Phase!A$2:A$4, Phase!B$2:B$4,"")</f>
        <v>46029</v>
      </c>
      <c r="G10" s="12">
        <f>_xlfn.XLOOKUP(E10, Phase!A$2:A$4, Phase!C$2:C$4,"")</f>
        <v>46142</v>
      </c>
    </row>
    <row r="11" spans="1:7" ht="34" x14ac:dyDescent="0.2">
      <c r="A11" s="9" t="s">
        <v>62</v>
      </c>
      <c r="B11" s="4" t="s">
        <v>17</v>
      </c>
      <c r="C11" s="3" t="s">
        <v>10</v>
      </c>
      <c r="D11" s="3" t="s">
        <v>14</v>
      </c>
      <c r="E11" s="3" t="s">
        <v>12</v>
      </c>
      <c r="F11" s="12">
        <f>_xlfn.XLOOKUP(E11, Phase!A$2:A$4, Phase!B$2:B$4,"")</f>
        <v>45847</v>
      </c>
      <c r="G11" s="12">
        <f>_xlfn.XLOOKUP(E11, Phase!A$2:A$4, Phase!C$2:C$4,"")</f>
        <v>45930</v>
      </c>
    </row>
    <row r="12" spans="1:7" ht="17" x14ac:dyDescent="0.2">
      <c r="A12" s="9"/>
      <c r="B12" s="4" t="s">
        <v>18</v>
      </c>
      <c r="C12" s="3" t="s">
        <v>7</v>
      </c>
      <c r="D12" s="3" t="s">
        <v>14</v>
      </c>
      <c r="E12" s="3" t="s">
        <v>27</v>
      </c>
      <c r="F12" s="12">
        <f>_xlfn.XLOOKUP(E12, Phase!A$2:A$4, Phase!B$2:B$4,"")</f>
        <v>45931</v>
      </c>
      <c r="G12" s="12">
        <f>_xlfn.XLOOKUP(E12, Phase!A$2:A$4, Phase!C$2:C$4,"")</f>
        <v>45663</v>
      </c>
    </row>
    <row r="13" spans="1:7" ht="17" x14ac:dyDescent="0.2">
      <c r="A13" s="9"/>
      <c r="B13" s="4" t="s">
        <v>69</v>
      </c>
      <c r="C13" s="3" t="s">
        <v>7</v>
      </c>
      <c r="D13" s="3" t="s">
        <v>14</v>
      </c>
      <c r="E13" s="3" t="s">
        <v>12</v>
      </c>
      <c r="F13" s="12">
        <f>_xlfn.XLOOKUP(E13, Phase!A$2:A$4, Phase!B$2:B$4,"")</f>
        <v>45847</v>
      </c>
      <c r="G13" s="12">
        <f>_xlfn.XLOOKUP(E13, Phase!A$2:A$4, Phase!C$2:C$4,"")</f>
        <v>45930</v>
      </c>
    </row>
    <row r="14" spans="1:7" ht="68" x14ac:dyDescent="0.2">
      <c r="A14" s="9" t="s">
        <v>63</v>
      </c>
      <c r="B14" s="5" t="s">
        <v>19</v>
      </c>
      <c r="C14" s="3" t="s">
        <v>10</v>
      </c>
      <c r="D14" s="3" t="s">
        <v>14</v>
      </c>
      <c r="E14" s="3" t="s">
        <v>26</v>
      </c>
      <c r="F14" s="12">
        <f>_xlfn.XLOOKUP(E14, Phase!A$2:A$4, Phase!B$2:B$4,"")</f>
        <v>46029</v>
      </c>
      <c r="G14" s="12">
        <f>_xlfn.XLOOKUP(E14, Phase!A$2:A$4, Phase!C$2:C$4,"")</f>
        <v>46142</v>
      </c>
    </row>
    <row r="15" spans="1:7" ht="34" x14ac:dyDescent="0.2">
      <c r="A15" s="9"/>
      <c r="B15" s="5" t="s">
        <v>70</v>
      </c>
      <c r="C15" s="3" t="s">
        <v>7</v>
      </c>
      <c r="D15" s="3" t="s">
        <v>14</v>
      </c>
      <c r="E15" s="3" t="s">
        <v>26</v>
      </c>
      <c r="F15" s="12">
        <f>_xlfn.XLOOKUP(E15, Phase!A$2:A$4, Phase!B$2:B$4,"")</f>
        <v>46029</v>
      </c>
      <c r="G15" s="12">
        <f>_xlfn.XLOOKUP(E15, Phase!A$2:A$4, Phase!C$2:C$4,"")</f>
        <v>46142</v>
      </c>
    </row>
    <row r="16" spans="1:7" ht="17" x14ac:dyDescent="0.2">
      <c r="A16" s="9"/>
      <c r="B16" s="4" t="s">
        <v>20</v>
      </c>
      <c r="C16" s="3" t="s">
        <v>28</v>
      </c>
      <c r="D16" s="3" t="s">
        <v>14</v>
      </c>
      <c r="E16" s="3" t="s">
        <v>27</v>
      </c>
      <c r="F16" s="12">
        <f>_xlfn.XLOOKUP(E16, Phase!A$2:A$4, Phase!B$2:B$4,"")</f>
        <v>45931</v>
      </c>
      <c r="G16" s="12">
        <f>_xlfn.XLOOKUP(E16, Phase!A$2:A$4, Phase!C$2:C$4,"")</f>
        <v>45663</v>
      </c>
    </row>
    <row r="17" spans="1:7" ht="34" x14ac:dyDescent="0.2">
      <c r="A17" s="9" t="s">
        <v>66</v>
      </c>
      <c r="B17" s="5" t="s">
        <v>21</v>
      </c>
      <c r="C17" s="3" t="s">
        <v>24</v>
      </c>
      <c r="D17" s="3" t="s">
        <v>14</v>
      </c>
      <c r="E17" s="3" t="s">
        <v>26</v>
      </c>
      <c r="F17" s="12">
        <f>_xlfn.XLOOKUP(E17, Phase!A$2:A$4, Phase!B$2:B$4,"")</f>
        <v>46029</v>
      </c>
      <c r="G17" s="12">
        <f>_xlfn.XLOOKUP(E17, Phase!A$2:A$4, Phase!C$2:C$4,"")</f>
        <v>46142</v>
      </c>
    </row>
    <row r="18" spans="1:7" ht="17" x14ac:dyDescent="0.2">
      <c r="A18" s="9"/>
      <c r="B18" s="4" t="s">
        <v>22</v>
      </c>
      <c r="C18" s="3" t="s">
        <v>7</v>
      </c>
      <c r="D18" s="3" t="s">
        <v>14</v>
      </c>
      <c r="E18" s="3" t="s">
        <v>12</v>
      </c>
      <c r="F18" s="12">
        <f>_xlfn.XLOOKUP(E18, Phase!A$2:A$4, Phase!B$2:B$4,"")</f>
        <v>45847</v>
      </c>
      <c r="G18" s="12">
        <f>_xlfn.XLOOKUP(E18, Phase!A$2:A$4, Phase!C$2:C$4,"")</f>
        <v>45930</v>
      </c>
    </row>
    <row r="19" spans="1:7" ht="34" x14ac:dyDescent="0.2">
      <c r="A19" s="9"/>
      <c r="B19" s="4" t="s">
        <v>23</v>
      </c>
      <c r="C19" s="3" t="s">
        <v>7</v>
      </c>
      <c r="D19" s="3" t="s">
        <v>14</v>
      </c>
      <c r="E19" s="3" t="s">
        <v>27</v>
      </c>
      <c r="F19" s="12">
        <f>_xlfn.XLOOKUP(E19, Phase!A$2:A$4, Phase!B$2:B$4,"")</f>
        <v>45931</v>
      </c>
      <c r="G19" s="12">
        <f>_xlfn.XLOOKUP(E19, Phase!A$2:A$4, Phase!C$2:C$4,"")</f>
        <v>45663</v>
      </c>
    </row>
    <row r="20" spans="1:7" ht="17" x14ac:dyDescent="0.2">
      <c r="A20" s="9" t="s">
        <v>66</v>
      </c>
      <c r="B20" s="4" t="s">
        <v>25</v>
      </c>
      <c r="C20" s="3" t="s">
        <v>10</v>
      </c>
      <c r="D20" s="3" t="s">
        <v>14</v>
      </c>
      <c r="E20" s="3" t="s">
        <v>12</v>
      </c>
      <c r="F20" s="12">
        <f>_xlfn.XLOOKUP(E20, Phase!A$2:A$4, Phase!B$2:B$4,"")</f>
        <v>45847</v>
      </c>
      <c r="G20" s="12">
        <f>_xlfn.XLOOKUP(E20, Phase!A$2:A$4, Phase!C$2:C$4,"")</f>
        <v>45930</v>
      </c>
    </row>
    <row r="21" spans="1:7" ht="17" x14ac:dyDescent="0.2">
      <c r="A21" s="9" t="s">
        <v>63</v>
      </c>
      <c r="B21" s="5" t="s">
        <v>48</v>
      </c>
      <c r="C21" s="6" t="s">
        <v>10</v>
      </c>
      <c r="D21" s="6" t="s">
        <v>47</v>
      </c>
      <c r="E21" s="3" t="s">
        <v>12</v>
      </c>
      <c r="F21" s="12">
        <f>_xlfn.XLOOKUP(E21, Phase!A$2:A$4, Phase!B$2:B$4,"")</f>
        <v>45847</v>
      </c>
      <c r="G21" s="12">
        <f>_xlfn.XLOOKUP(E21, Phase!A$2:A$4, Phase!C$2:C$4,"")</f>
        <v>45930</v>
      </c>
    </row>
    <row r="22" spans="1:7" ht="17" x14ac:dyDescent="0.2">
      <c r="A22" s="9" t="s">
        <v>63</v>
      </c>
      <c r="B22" s="5" t="s">
        <v>49</v>
      </c>
      <c r="C22" s="6" t="s">
        <v>10</v>
      </c>
      <c r="D22" s="6" t="s">
        <v>47</v>
      </c>
      <c r="E22" s="3" t="s">
        <v>12</v>
      </c>
      <c r="F22" s="12">
        <f>_xlfn.XLOOKUP(E22, Phase!A$2:A$4, Phase!B$2:B$4,"")</f>
        <v>45847</v>
      </c>
      <c r="G22" s="12">
        <f>_xlfn.XLOOKUP(E22, Phase!A$2:A$4, Phase!C$2:C$4,"")</f>
        <v>45930</v>
      </c>
    </row>
    <row r="23" spans="1:7" ht="17" x14ac:dyDescent="0.2">
      <c r="A23" s="9" t="s">
        <v>62</v>
      </c>
      <c r="B23" s="5" t="s">
        <v>29</v>
      </c>
      <c r="C23" s="6" t="s">
        <v>10</v>
      </c>
      <c r="D23" s="6" t="s">
        <v>47</v>
      </c>
      <c r="E23" s="3" t="s">
        <v>12</v>
      </c>
      <c r="F23" s="12">
        <f>_xlfn.XLOOKUP(E23, Phase!A$2:A$4, Phase!B$2:B$4,"")</f>
        <v>45847</v>
      </c>
      <c r="G23" s="12">
        <f>_xlfn.XLOOKUP(E23, Phase!A$2:A$4, Phase!C$2:C$4,"")</f>
        <v>45930</v>
      </c>
    </row>
    <row r="24" spans="1:7" ht="17" x14ac:dyDescent="0.2">
      <c r="A24" s="9"/>
      <c r="B24" s="5" t="s">
        <v>30</v>
      </c>
      <c r="C24" s="6" t="s">
        <v>31</v>
      </c>
      <c r="D24" s="6" t="s">
        <v>47</v>
      </c>
      <c r="E24" s="3" t="s">
        <v>12</v>
      </c>
      <c r="F24" s="12">
        <f>_xlfn.XLOOKUP(E24, Phase!A$2:A$4, Phase!B$2:B$4,"")</f>
        <v>45847</v>
      </c>
      <c r="G24" s="12">
        <f>_xlfn.XLOOKUP(E24, Phase!A$2:A$4, Phase!C$2:C$4,"")</f>
        <v>45930</v>
      </c>
    </row>
    <row r="25" spans="1:7" ht="17" x14ac:dyDescent="0.2">
      <c r="A25" s="9"/>
      <c r="B25" s="5" t="s">
        <v>32</v>
      </c>
      <c r="C25" s="6" t="s">
        <v>31</v>
      </c>
      <c r="D25" s="6" t="s">
        <v>47</v>
      </c>
      <c r="E25" s="3" t="s">
        <v>12</v>
      </c>
      <c r="F25" s="12">
        <f>_xlfn.XLOOKUP(E25, Phase!A$2:A$4, Phase!B$2:B$4,"")</f>
        <v>45847</v>
      </c>
      <c r="G25" s="12">
        <f>_xlfn.XLOOKUP(E25, Phase!A$2:A$4, Phase!C$2:C$4,"")</f>
        <v>45930</v>
      </c>
    </row>
    <row r="26" spans="1:7" ht="17" x14ac:dyDescent="0.2">
      <c r="A26" s="9" t="s">
        <v>66</v>
      </c>
      <c r="B26" s="5" t="s">
        <v>33</v>
      </c>
      <c r="C26" s="6" t="s">
        <v>10</v>
      </c>
      <c r="D26" s="6" t="s">
        <v>47</v>
      </c>
      <c r="E26" s="3" t="s">
        <v>12</v>
      </c>
      <c r="F26" s="12">
        <f>_xlfn.XLOOKUP(E26, Phase!A$2:A$4, Phase!B$2:B$4,"")</f>
        <v>45847</v>
      </c>
      <c r="G26" s="12">
        <f>_xlfn.XLOOKUP(E26, Phase!A$2:A$4, Phase!C$2:C$4,"")</f>
        <v>45930</v>
      </c>
    </row>
    <row r="27" spans="1:7" ht="34" x14ac:dyDescent="0.2">
      <c r="A27" s="9" t="s">
        <v>63</v>
      </c>
      <c r="B27" s="5" t="s">
        <v>34</v>
      </c>
      <c r="C27" s="6" t="s">
        <v>10</v>
      </c>
      <c r="D27" s="6" t="s">
        <v>47</v>
      </c>
      <c r="E27" s="3" t="s">
        <v>12</v>
      </c>
      <c r="F27" s="12">
        <f>_xlfn.XLOOKUP(E27, Phase!A$2:A$4, Phase!B$2:B$4,"")</f>
        <v>45847</v>
      </c>
      <c r="G27" s="12">
        <f>_xlfn.XLOOKUP(E27, Phase!A$2:A$4, Phase!C$2:C$4,"")</f>
        <v>45930</v>
      </c>
    </row>
    <row r="28" spans="1:7" ht="17" x14ac:dyDescent="0.2">
      <c r="A28" s="9"/>
      <c r="B28" s="5" t="s">
        <v>35</v>
      </c>
      <c r="C28" s="6" t="s">
        <v>31</v>
      </c>
      <c r="D28" s="6" t="s">
        <v>47</v>
      </c>
      <c r="E28" s="3" t="s">
        <v>12</v>
      </c>
      <c r="F28" s="12">
        <f>_xlfn.XLOOKUP(E28, Phase!A$2:A$4, Phase!B$2:B$4,"")</f>
        <v>45847</v>
      </c>
      <c r="G28" s="12">
        <f>_xlfn.XLOOKUP(E28, Phase!A$2:A$4, Phase!C$2:C$4,"")</f>
        <v>45930</v>
      </c>
    </row>
    <row r="29" spans="1:7" ht="17" x14ac:dyDescent="0.2">
      <c r="A29" s="9" t="s">
        <v>66</v>
      </c>
      <c r="B29" s="5" t="s">
        <v>36</v>
      </c>
      <c r="C29" s="6" t="s">
        <v>10</v>
      </c>
      <c r="D29" s="6" t="s">
        <v>47</v>
      </c>
      <c r="E29" s="3" t="s">
        <v>12</v>
      </c>
      <c r="F29" s="12">
        <f>_xlfn.XLOOKUP(E29, Phase!A$2:A$4, Phase!B$2:B$4,"")</f>
        <v>45847</v>
      </c>
      <c r="G29" s="12">
        <f>_xlfn.XLOOKUP(E29, Phase!A$2:A$4, Phase!C$2:C$4,"")</f>
        <v>45930</v>
      </c>
    </row>
    <row r="30" spans="1:7" ht="17" x14ac:dyDescent="0.2">
      <c r="A30" s="9" t="s">
        <v>62</v>
      </c>
      <c r="B30" s="5" t="s">
        <v>75</v>
      </c>
      <c r="C30" s="6" t="s">
        <v>10</v>
      </c>
      <c r="D30" s="6" t="s">
        <v>47</v>
      </c>
      <c r="E30" s="3" t="s">
        <v>12</v>
      </c>
      <c r="F30" s="12">
        <f>_xlfn.XLOOKUP(E30, Phase!A$2:A$4, Phase!B$2:B$4,"")</f>
        <v>45847</v>
      </c>
      <c r="G30" s="12">
        <f>_xlfn.XLOOKUP(E30, Phase!A$2:A$4, Phase!C$2:C$4,"")</f>
        <v>45930</v>
      </c>
    </row>
    <row r="31" spans="1:7" ht="17" x14ac:dyDescent="0.2">
      <c r="A31" s="9" t="s">
        <v>63</v>
      </c>
      <c r="B31" s="5" t="s">
        <v>37</v>
      </c>
      <c r="C31" s="6" t="s">
        <v>10</v>
      </c>
      <c r="D31" s="6" t="s">
        <v>47</v>
      </c>
      <c r="E31" s="3" t="s">
        <v>12</v>
      </c>
      <c r="F31" s="12">
        <f>_xlfn.XLOOKUP(E31, Phase!A$2:A$4, Phase!B$2:B$4,"")</f>
        <v>45847</v>
      </c>
      <c r="G31" s="12">
        <f>_xlfn.XLOOKUP(E31, Phase!A$2:A$4, Phase!C$2:C$4,"")</f>
        <v>45930</v>
      </c>
    </row>
    <row r="32" spans="1:7" ht="17" x14ac:dyDescent="0.2">
      <c r="A32" s="9" t="s">
        <v>63</v>
      </c>
      <c r="B32" s="5" t="s">
        <v>38</v>
      </c>
      <c r="C32" s="6" t="s">
        <v>10</v>
      </c>
      <c r="D32" s="6" t="s">
        <v>47</v>
      </c>
      <c r="E32" s="3" t="s">
        <v>12</v>
      </c>
      <c r="F32" s="12">
        <f>_xlfn.XLOOKUP(E32, Phase!A$2:A$4, Phase!B$2:B$4,"")</f>
        <v>45847</v>
      </c>
      <c r="G32" s="12">
        <f>_xlfn.XLOOKUP(E32, Phase!A$2:A$4, Phase!C$2:C$4,"")</f>
        <v>45930</v>
      </c>
    </row>
    <row r="33" spans="1:7" ht="17" x14ac:dyDescent="0.2">
      <c r="A33" s="9"/>
      <c r="B33" s="5" t="s">
        <v>39</v>
      </c>
      <c r="C33" s="6" t="s">
        <v>31</v>
      </c>
      <c r="D33" s="6" t="s">
        <v>47</v>
      </c>
      <c r="E33" s="3" t="s">
        <v>12</v>
      </c>
      <c r="F33" s="12">
        <f>_xlfn.XLOOKUP(E33, Phase!A$2:A$4, Phase!B$2:B$4,"")</f>
        <v>45847</v>
      </c>
      <c r="G33" s="12">
        <f>_xlfn.XLOOKUP(E33, Phase!A$2:A$4, Phase!C$2:C$4,"")</f>
        <v>45930</v>
      </c>
    </row>
    <row r="34" spans="1:7" ht="17" x14ac:dyDescent="0.2">
      <c r="A34" s="9" t="s">
        <v>65</v>
      </c>
      <c r="B34" s="5" t="s">
        <v>40</v>
      </c>
      <c r="C34" s="6" t="s">
        <v>10</v>
      </c>
      <c r="D34" s="6" t="s">
        <v>47</v>
      </c>
      <c r="E34" s="3" t="s">
        <v>12</v>
      </c>
      <c r="F34" s="12">
        <f>_xlfn.XLOOKUP(E34, Phase!A$2:A$4, Phase!B$2:B$4,"")</f>
        <v>45847</v>
      </c>
      <c r="G34" s="12">
        <f>_xlfn.XLOOKUP(E34, Phase!A$2:A$4, Phase!C$2:C$4,"")</f>
        <v>45930</v>
      </c>
    </row>
    <row r="35" spans="1:7" ht="17" x14ac:dyDescent="0.2">
      <c r="A35" s="9" t="s">
        <v>65</v>
      </c>
      <c r="B35" s="5" t="s">
        <v>41</v>
      </c>
      <c r="C35" s="6" t="s">
        <v>10</v>
      </c>
      <c r="D35" s="6" t="s">
        <v>47</v>
      </c>
      <c r="E35" s="3" t="s">
        <v>12</v>
      </c>
      <c r="F35" s="12">
        <f>_xlfn.XLOOKUP(E35, Phase!A$2:A$4, Phase!B$2:B$4,"")</f>
        <v>45847</v>
      </c>
      <c r="G35" s="12">
        <f>_xlfn.XLOOKUP(E35, Phase!A$2:A$4, Phase!C$2:C$4,"")</f>
        <v>45930</v>
      </c>
    </row>
    <row r="36" spans="1:7" ht="17" x14ac:dyDescent="0.2">
      <c r="A36" s="9"/>
      <c r="B36" s="5" t="s">
        <v>42</v>
      </c>
      <c r="C36" s="6" t="s">
        <v>31</v>
      </c>
      <c r="D36" s="6" t="s">
        <v>47</v>
      </c>
      <c r="E36" s="3" t="s">
        <v>12</v>
      </c>
      <c r="F36" s="12">
        <f>_xlfn.XLOOKUP(E36, Phase!A$2:A$4, Phase!B$2:B$4,"")</f>
        <v>45847</v>
      </c>
      <c r="G36" s="12">
        <f>_xlfn.XLOOKUP(E36, Phase!A$2:A$4, Phase!C$2:C$4,"")</f>
        <v>45930</v>
      </c>
    </row>
    <row r="37" spans="1:7" ht="17" x14ac:dyDescent="0.2">
      <c r="A37" s="9"/>
      <c r="B37" s="5" t="s">
        <v>43</v>
      </c>
      <c r="C37" s="6" t="s">
        <v>31</v>
      </c>
      <c r="D37" s="6" t="s">
        <v>47</v>
      </c>
      <c r="E37" s="3" t="s">
        <v>12</v>
      </c>
      <c r="F37" s="12">
        <f>_xlfn.XLOOKUP(E37, Phase!A$2:A$4, Phase!B$2:B$4,"")</f>
        <v>45847</v>
      </c>
      <c r="G37" s="12">
        <f>_xlfn.XLOOKUP(E37, Phase!A$2:A$4, Phase!C$2:C$4,"")</f>
        <v>45930</v>
      </c>
    </row>
    <row r="38" spans="1:7" ht="17" x14ac:dyDescent="0.2">
      <c r="A38" s="9"/>
      <c r="B38" s="5" t="s">
        <v>44</v>
      </c>
      <c r="C38" s="6" t="s">
        <v>31</v>
      </c>
      <c r="D38" s="6" t="s">
        <v>47</v>
      </c>
      <c r="E38" s="3" t="s">
        <v>12</v>
      </c>
      <c r="F38" s="12">
        <f>_xlfn.XLOOKUP(E38, Phase!A$2:A$4, Phase!B$2:B$4,"")</f>
        <v>45847</v>
      </c>
      <c r="G38" s="12">
        <f>_xlfn.XLOOKUP(E38, Phase!A$2:A$4, Phase!C$2:C$4,"")</f>
        <v>45930</v>
      </c>
    </row>
    <row r="39" spans="1:7" ht="17" x14ac:dyDescent="0.2">
      <c r="A39" s="9" t="s">
        <v>63</v>
      </c>
      <c r="B39" s="5" t="s">
        <v>45</v>
      </c>
      <c r="C39" s="6" t="s">
        <v>10</v>
      </c>
      <c r="D39" s="6" t="s">
        <v>47</v>
      </c>
      <c r="E39" s="3" t="s">
        <v>12</v>
      </c>
      <c r="F39" s="12">
        <f>_xlfn.XLOOKUP(E39, Phase!A$2:A$4, Phase!B$2:B$4,"")</f>
        <v>45847</v>
      </c>
      <c r="G39" s="12">
        <f>_xlfn.XLOOKUP(E39, Phase!A$2:A$4, Phase!C$2:C$4,"")</f>
        <v>45930</v>
      </c>
    </row>
    <row r="40" spans="1:7" ht="17" x14ac:dyDescent="0.2">
      <c r="A40" s="9" t="s">
        <v>62</v>
      </c>
      <c r="B40" s="5" t="s">
        <v>46</v>
      </c>
      <c r="C40" s="6" t="s">
        <v>10</v>
      </c>
      <c r="D40" s="6" t="s">
        <v>47</v>
      </c>
      <c r="E40" s="3" t="s">
        <v>12</v>
      </c>
      <c r="F40" s="12">
        <f>_xlfn.XLOOKUP(E40, Phase!A$2:A$4, Phase!B$2:B$4,"")</f>
        <v>45847</v>
      </c>
      <c r="G40" s="12">
        <f>_xlfn.XLOOKUP(E40, Phase!A$2:A$4, Phase!C$2:C$4,"")</f>
        <v>45930</v>
      </c>
    </row>
    <row r="41" spans="1:7" ht="17" x14ac:dyDescent="0.2">
      <c r="A41" s="9" t="s">
        <v>66</v>
      </c>
      <c r="B41" s="5" t="s">
        <v>76</v>
      </c>
      <c r="C41" s="5" t="s">
        <v>10</v>
      </c>
      <c r="D41" s="6" t="s">
        <v>47</v>
      </c>
      <c r="E41" s="3" t="s">
        <v>26</v>
      </c>
      <c r="F41" s="12">
        <f>_xlfn.XLOOKUP(E41, Phase!A$2:A$4, Phase!B$2:B$4,"")</f>
        <v>46029</v>
      </c>
      <c r="G41" s="12">
        <f>_xlfn.XLOOKUP(E41, Phase!A$2:A$4, Phase!C$2:C$4,"")</f>
        <v>46142</v>
      </c>
    </row>
    <row r="42" spans="1:7" ht="17" x14ac:dyDescent="0.2">
      <c r="A42" s="9" t="s">
        <v>63</v>
      </c>
      <c r="B42" s="5" t="s">
        <v>50</v>
      </c>
      <c r="C42" s="5" t="s">
        <v>10</v>
      </c>
      <c r="D42" s="6" t="s">
        <v>47</v>
      </c>
      <c r="E42" s="3" t="s">
        <v>27</v>
      </c>
      <c r="F42" s="12">
        <f>_xlfn.XLOOKUP(E42, Phase!A$2:A$4, Phase!B$2:B$4,"")</f>
        <v>45931</v>
      </c>
      <c r="G42" s="12">
        <f>_xlfn.XLOOKUP(E42, Phase!A$2:A$4, Phase!C$2:C$4,"")</f>
        <v>45663</v>
      </c>
    </row>
    <row r="43" spans="1:7" ht="17" x14ac:dyDescent="0.2">
      <c r="A43" s="9" t="s">
        <v>63</v>
      </c>
      <c r="B43" s="5" t="s">
        <v>51</v>
      </c>
      <c r="C43" s="5" t="s">
        <v>10</v>
      </c>
      <c r="D43" s="6" t="s">
        <v>47</v>
      </c>
      <c r="E43" s="3" t="s">
        <v>27</v>
      </c>
      <c r="F43" s="12">
        <f>_xlfn.XLOOKUP(E43, Phase!A$2:A$4, Phase!B$2:B$4,"")</f>
        <v>45931</v>
      </c>
      <c r="G43" s="12">
        <f>_xlfn.XLOOKUP(E43, Phase!A$2:A$4, Phase!C$2:C$4,"")</f>
        <v>45663</v>
      </c>
    </row>
    <row r="44" spans="1:7" ht="17" x14ac:dyDescent="0.2">
      <c r="A44" s="9" t="s">
        <v>63</v>
      </c>
      <c r="B44" s="5" t="s">
        <v>60</v>
      </c>
      <c r="C44" s="5" t="s">
        <v>10</v>
      </c>
      <c r="D44" s="6" t="s">
        <v>47</v>
      </c>
      <c r="E44" s="3" t="s">
        <v>27</v>
      </c>
      <c r="F44" s="12">
        <f>_xlfn.XLOOKUP(E44, Phase!A$2:A$4, Phase!B$2:B$4,"")</f>
        <v>45931</v>
      </c>
      <c r="G44" s="12">
        <f>_xlfn.XLOOKUP(E44, Phase!A$2:A$4, Phase!C$2:C$4,"")</f>
        <v>45663</v>
      </c>
    </row>
    <row r="45" spans="1:7" ht="17" x14ac:dyDescent="0.2">
      <c r="A45" s="9"/>
      <c r="B45" s="5" t="s">
        <v>52</v>
      </c>
      <c r="C45" s="5" t="s">
        <v>10</v>
      </c>
      <c r="D45" s="6" t="s">
        <v>47</v>
      </c>
      <c r="E45" s="3" t="s">
        <v>27</v>
      </c>
      <c r="F45" s="12">
        <f>_xlfn.XLOOKUP(E45, Phase!A$2:A$4, Phase!B$2:B$4,"")</f>
        <v>45931</v>
      </c>
      <c r="G45" s="12">
        <f>_xlfn.XLOOKUP(E45, Phase!A$2:A$4, Phase!C$2:C$4,"")</f>
        <v>45663</v>
      </c>
    </row>
    <row r="46" spans="1:7" ht="17" x14ac:dyDescent="0.2">
      <c r="A46" s="9" t="s">
        <v>63</v>
      </c>
      <c r="B46" s="5" t="s">
        <v>53</v>
      </c>
      <c r="C46" s="5" t="s">
        <v>10</v>
      </c>
      <c r="D46" s="6" t="s">
        <v>47</v>
      </c>
      <c r="E46" s="3" t="s">
        <v>26</v>
      </c>
      <c r="F46" s="12">
        <f>_xlfn.XLOOKUP(E46, Phase!A$2:A$4, Phase!B$2:B$4,"")</f>
        <v>46029</v>
      </c>
      <c r="G46" s="12">
        <f>_xlfn.XLOOKUP(E46, Phase!A$2:A$4, Phase!C$2:C$4,"")</f>
        <v>46142</v>
      </c>
    </row>
    <row r="47" spans="1:7" ht="17" x14ac:dyDescent="0.2">
      <c r="A47" s="9" t="s">
        <v>63</v>
      </c>
      <c r="B47" s="5" t="s">
        <v>54</v>
      </c>
      <c r="C47" s="5" t="s">
        <v>10</v>
      </c>
      <c r="D47" s="6" t="s">
        <v>47</v>
      </c>
      <c r="E47" s="3" t="s">
        <v>26</v>
      </c>
      <c r="F47" s="12">
        <f>_xlfn.XLOOKUP(E47, Phase!A$2:A$4, Phase!B$2:B$4,"")</f>
        <v>46029</v>
      </c>
      <c r="G47" s="12">
        <f>_xlfn.XLOOKUP(E47, Phase!A$2:A$4, Phase!C$2:C$4,"")</f>
        <v>46142</v>
      </c>
    </row>
    <row r="48" spans="1:7" ht="17" x14ac:dyDescent="0.2">
      <c r="A48" s="9" t="s">
        <v>63</v>
      </c>
      <c r="B48" s="5" t="s">
        <v>55</v>
      </c>
      <c r="C48" s="5" t="s">
        <v>10</v>
      </c>
      <c r="D48" s="6" t="s">
        <v>47</v>
      </c>
      <c r="E48" s="3" t="s">
        <v>26</v>
      </c>
      <c r="F48" s="12">
        <f>_xlfn.XLOOKUP(E48, Phase!A$2:A$4, Phase!B$2:B$4,"")</f>
        <v>46029</v>
      </c>
      <c r="G48" s="12">
        <f>_xlfn.XLOOKUP(E48, Phase!A$2:A$4, Phase!C$2:C$4,"")</f>
        <v>46142</v>
      </c>
    </row>
    <row r="49" spans="1:7" ht="17" x14ac:dyDescent="0.2">
      <c r="A49" s="9"/>
      <c r="B49" s="5" t="s">
        <v>56</v>
      </c>
      <c r="C49" s="5" t="s">
        <v>31</v>
      </c>
      <c r="D49" s="6" t="s">
        <v>47</v>
      </c>
      <c r="E49" s="3" t="s">
        <v>12</v>
      </c>
      <c r="F49" s="12">
        <f>_xlfn.XLOOKUP(E49, Phase!A$2:A$4, Phase!B$2:B$4,"")</f>
        <v>45847</v>
      </c>
      <c r="G49" s="12">
        <f>_xlfn.XLOOKUP(E49, Phase!A$2:A$4, Phase!C$2:C$4,"")</f>
        <v>45930</v>
      </c>
    </row>
    <row r="50" spans="1:7" ht="17" x14ac:dyDescent="0.2">
      <c r="A50" s="9"/>
      <c r="B50" s="5" t="s">
        <v>57</v>
      </c>
      <c r="C50" s="5" t="s">
        <v>31</v>
      </c>
      <c r="D50" s="6" t="s">
        <v>47</v>
      </c>
      <c r="E50" s="3" t="s">
        <v>26</v>
      </c>
      <c r="F50" s="12">
        <f>_xlfn.XLOOKUP(E50, Phase!A$2:A$4, Phase!B$2:B$4,"")</f>
        <v>46029</v>
      </c>
      <c r="G50" s="12">
        <f>_xlfn.XLOOKUP(E50, Phase!A$2:A$4, Phase!C$2:C$4,"")</f>
        <v>46142</v>
      </c>
    </row>
    <row r="51" spans="1:7" ht="17" x14ac:dyDescent="0.2">
      <c r="A51" s="9" t="s">
        <v>64</v>
      </c>
      <c r="B51" s="5" t="s">
        <v>58</v>
      </c>
      <c r="C51" s="5" t="s">
        <v>10</v>
      </c>
      <c r="D51" s="6" t="s">
        <v>47</v>
      </c>
      <c r="E51" s="3" t="s">
        <v>26</v>
      </c>
      <c r="F51" s="12">
        <f>_xlfn.XLOOKUP(E51, Phase!A$2:A$4, Phase!B$2:B$4,"")</f>
        <v>46029</v>
      </c>
      <c r="G51" s="12">
        <f>_xlfn.XLOOKUP(E51, Phase!A$2:A$4, Phase!C$2:C$4,"")</f>
        <v>46142</v>
      </c>
    </row>
    <row r="52" spans="1:7" ht="17" x14ac:dyDescent="0.2">
      <c r="A52" s="9" t="s">
        <v>66</v>
      </c>
      <c r="B52" s="5" t="s">
        <v>73</v>
      </c>
      <c r="C52" s="5" t="s">
        <v>10</v>
      </c>
      <c r="D52" s="6" t="s">
        <v>47</v>
      </c>
      <c r="E52" s="3" t="s">
        <v>26</v>
      </c>
      <c r="F52" s="12">
        <f>_xlfn.XLOOKUP(E52, Phase!A$2:A$4, Phase!B$2:B$4,"")</f>
        <v>46029</v>
      </c>
      <c r="G52" s="12">
        <f>_xlfn.XLOOKUP(E52, Phase!A$2:A$4, Phase!C$2:C$4,"")</f>
        <v>46142</v>
      </c>
    </row>
    <row r="53" spans="1:7" ht="17" x14ac:dyDescent="0.2">
      <c r="A53" s="9" t="s">
        <v>67</v>
      </c>
      <c r="B53" s="5" t="s">
        <v>59</v>
      </c>
      <c r="C53" s="5" t="s">
        <v>10</v>
      </c>
      <c r="D53" s="6" t="s">
        <v>47</v>
      </c>
      <c r="E53" s="3" t="s">
        <v>26</v>
      </c>
      <c r="F53" s="12">
        <f>_xlfn.XLOOKUP(E53, Phase!A$2:A$4, Phase!B$2:B$4,"")</f>
        <v>46029</v>
      </c>
      <c r="G53" s="12">
        <f>_xlfn.XLOOKUP(E53, Phase!A$2:A$4, Phase!C$2:C$4,"")</f>
        <v>46142</v>
      </c>
    </row>
    <row r="54" spans="1:7" ht="17" x14ac:dyDescent="0.2">
      <c r="A54" s="9" t="s">
        <v>71</v>
      </c>
      <c r="B54" s="3" t="s">
        <v>74</v>
      </c>
      <c r="C54" s="5" t="s">
        <v>10</v>
      </c>
      <c r="D54" s="6" t="s">
        <v>47</v>
      </c>
      <c r="E54" s="3" t="s">
        <v>27</v>
      </c>
      <c r="F54" s="12">
        <f>_xlfn.XLOOKUP(E54, Phase!A$2:A$4, Phase!B$2:B$4,"")</f>
        <v>45931</v>
      </c>
      <c r="G54" s="12">
        <f>_xlfn.XLOOKUP(E54, Phase!A$2:A$4, Phase!C$2:C$4,"")</f>
        <v>45663</v>
      </c>
    </row>
    <row r="55" spans="1:7" ht="17" x14ac:dyDescent="0.2">
      <c r="A55" s="9" t="s">
        <v>66</v>
      </c>
      <c r="B55" s="3" t="s">
        <v>77</v>
      </c>
      <c r="C55" s="5" t="s">
        <v>10</v>
      </c>
      <c r="D55" s="6" t="s">
        <v>47</v>
      </c>
      <c r="E55" s="3" t="s">
        <v>12</v>
      </c>
      <c r="F55" s="12">
        <f>_xlfn.XLOOKUP(E55, Phase!A$2:A$4, Phase!B$2:B$4,"")</f>
        <v>45847</v>
      </c>
      <c r="G55" s="12">
        <f>_xlfn.XLOOKUP(E55, Phase!A$2:A$4, Phase!C$2:C$4,"")</f>
        <v>45930</v>
      </c>
    </row>
    <row r="56" spans="1:7" ht="17" x14ac:dyDescent="0.2">
      <c r="A56" s="9" t="s">
        <v>66</v>
      </c>
      <c r="B56" s="3" t="s">
        <v>78</v>
      </c>
      <c r="C56" s="5" t="s">
        <v>10</v>
      </c>
      <c r="D56" s="6" t="s">
        <v>47</v>
      </c>
      <c r="E56" s="3" t="s">
        <v>27</v>
      </c>
      <c r="F56" s="12">
        <f>_xlfn.XLOOKUP(E56, Phase!A$2:A$4, Phase!B$2:B$4,"")</f>
        <v>45931</v>
      </c>
      <c r="G56" s="12">
        <f>_xlfn.XLOOKUP(E56, Phase!A$2:A$4, Phase!C$2:C$4,"")</f>
        <v>45663</v>
      </c>
    </row>
    <row r="57" spans="1:7" ht="17" x14ac:dyDescent="0.2">
      <c r="A57" s="9" t="s">
        <v>66</v>
      </c>
      <c r="B57" s="3" t="s">
        <v>79</v>
      </c>
      <c r="C57" s="5" t="s">
        <v>10</v>
      </c>
      <c r="D57" s="6" t="s">
        <v>47</v>
      </c>
      <c r="E57" s="3" t="s">
        <v>26</v>
      </c>
      <c r="F57" s="12">
        <f>_xlfn.XLOOKUP(E57, Phase!A$2:A$4, Phase!B$2:B$4,"")</f>
        <v>46029</v>
      </c>
      <c r="G57" s="12">
        <f>_xlfn.XLOOKUP(E57, Phase!A$2:A$4, Phase!C$2:C$4,"")</f>
        <v>46142</v>
      </c>
    </row>
    <row r="58" spans="1:7" ht="17" x14ac:dyDescent="0.2">
      <c r="A58" s="9" t="s">
        <v>66</v>
      </c>
      <c r="B58" s="5" t="s">
        <v>80</v>
      </c>
      <c r="C58" s="5" t="s">
        <v>10</v>
      </c>
      <c r="D58" s="6" t="s">
        <v>47</v>
      </c>
      <c r="E58" s="3" t="s">
        <v>26</v>
      </c>
      <c r="F58" s="12">
        <f>_xlfn.XLOOKUP(E58, Phase!A$2:A$4, Phase!B$2:B$4,"")</f>
        <v>46029</v>
      </c>
      <c r="G58" s="12">
        <f>_xlfn.XLOOKUP(E58, Phase!A$2:A$4, Phase!C$2:C$4,"")</f>
        <v>46142</v>
      </c>
    </row>
    <row r="59" spans="1:7" ht="17" x14ac:dyDescent="0.2">
      <c r="A59" s="9" t="s">
        <v>71</v>
      </c>
      <c r="B59" s="3" t="s">
        <v>81</v>
      </c>
      <c r="C59" s="5" t="s">
        <v>10</v>
      </c>
      <c r="D59" s="6" t="s">
        <v>47</v>
      </c>
      <c r="E59" s="3" t="s">
        <v>26</v>
      </c>
      <c r="F59" s="12">
        <f>_xlfn.XLOOKUP(E59, Phase!A$2:A$4, Phase!B$2:B$4,"")</f>
        <v>46029</v>
      </c>
      <c r="G59" s="12">
        <f>_xlfn.XLOOKUP(E59, Phase!A$2:A$4, Phase!C$2:C$4,"")</f>
        <v>46142</v>
      </c>
    </row>
    <row r="60" spans="1:7" ht="17" x14ac:dyDescent="0.2">
      <c r="A60" s="9" t="s">
        <v>66</v>
      </c>
      <c r="B60" s="3" t="s">
        <v>82</v>
      </c>
      <c r="C60" s="5" t="s">
        <v>10</v>
      </c>
      <c r="D60" s="6" t="s">
        <v>47</v>
      </c>
      <c r="E60" s="3" t="s">
        <v>26</v>
      </c>
      <c r="F60" s="12">
        <f>_xlfn.XLOOKUP(E60, Phase!A$2:A$4, Phase!B$2:B$4,"")</f>
        <v>46029</v>
      </c>
      <c r="G60" s="12">
        <f>_xlfn.XLOOKUP(E60, Phase!A$2:A$4, Phase!C$2:C$4,"")</f>
        <v>46142</v>
      </c>
    </row>
    <row r="61" spans="1:7" ht="17" x14ac:dyDescent="0.2">
      <c r="A61" s="9" t="s">
        <v>63</v>
      </c>
      <c r="B61" s="3" t="s">
        <v>83</v>
      </c>
      <c r="C61" s="5" t="s">
        <v>10</v>
      </c>
      <c r="D61" s="6" t="s">
        <v>47</v>
      </c>
      <c r="E61" s="3" t="s">
        <v>26</v>
      </c>
      <c r="F61" s="12">
        <f>_xlfn.XLOOKUP(E61, Phase!A$2:A$4, Phase!B$2:B$4,"")</f>
        <v>46029</v>
      </c>
      <c r="G61" s="12">
        <f>_xlfn.XLOOKUP(E61, Phase!A$2:A$4, Phase!C$2:C$4,"")</f>
        <v>46142</v>
      </c>
    </row>
    <row r="62" spans="1:7" ht="17" x14ac:dyDescent="0.2">
      <c r="A62" s="9" t="s">
        <v>63</v>
      </c>
      <c r="B62" s="3" t="s">
        <v>84</v>
      </c>
      <c r="C62" s="5" t="s">
        <v>10</v>
      </c>
      <c r="D62" s="6" t="s">
        <v>47</v>
      </c>
      <c r="E62" s="3" t="s">
        <v>26</v>
      </c>
      <c r="F62" s="12">
        <f>_xlfn.XLOOKUP(E62, Phase!A$2:A$4, Phase!B$2:B$4,"")</f>
        <v>46029</v>
      </c>
      <c r="G62" s="12">
        <f>_xlfn.XLOOKUP(E62, Phase!A$2:A$4, Phase!C$2:C$4,"")</f>
        <v>46142</v>
      </c>
    </row>
    <row r="63" spans="1:7" ht="17" x14ac:dyDescent="0.2">
      <c r="A63" s="9" t="s">
        <v>66</v>
      </c>
      <c r="B63" s="9" t="s">
        <v>85</v>
      </c>
      <c r="C63" s="5" t="s">
        <v>10</v>
      </c>
      <c r="D63" s="6" t="s">
        <v>47</v>
      </c>
      <c r="E63" s="3" t="s">
        <v>26</v>
      </c>
      <c r="F63" s="12">
        <f>_xlfn.XLOOKUP(E63, Phase!A$2:A$4, Phase!B$2:B$4,"")</f>
        <v>46029</v>
      </c>
      <c r="G63" s="12">
        <f>_xlfn.XLOOKUP(E63, Phase!A$2:A$4, Phase!C$2:C$4,"")</f>
        <v>46142</v>
      </c>
    </row>
    <row r="64" spans="1:7" x14ac:dyDescent="0.2">
      <c r="A64" s="9"/>
      <c r="B64" s="3"/>
      <c r="C64" s="3"/>
      <c r="D64" s="3"/>
      <c r="E64" s="3"/>
      <c r="F64" s="12"/>
      <c r="G64" s="12"/>
    </row>
    <row r="65" spans="1:7" x14ac:dyDescent="0.2">
      <c r="A65" s="9"/>
      <c r="B65" s="3"/>
      <c r="C65" s="3"/>
      <c r="D65" s="3"/>
      <c r="E65" s="3"/>
      <c r="F65" s="12"/>
      <c r="G65" s="12"/>
    </row>
    <row r="66" spans="1:7" x14ac:dyDescent="0.2">
      <c r="A66" s="9"/>
      <c r="B66" s="3"/>
      <c r="C66" s="3"/>
      <c r="D66" s="3"/>
      <c r="E66" s="3"/>
      <c r="F66" s="12"/>
      <c r="G66" s="12"/>
    </row>
    <row r="67" spans="1:7" x14ac:dyDescent="0.2">
      <c r="A67" s="9"/>
      <c r="B67" s="3"/>
      <c r="C67" s="3"/>
      <c r="D67" s="3"/>
      <c r="E67" s="3"/>
      <c r="F67" s="12"/>
      <c r="G67" s="12"/>
    </row>
    <row r="68" spans="1:7" x14ac:dyDescent="0.2">
      <c r="A68" s="9"/>
      <c r="B68" s="3"/>
      <c r="C68" s="3"/>
      <c r="D68" s="3"/>
      <c r="E68" s="3"/>
      <c r="F68" s="12"/>
      <c r="G68" s="12"/>
    </row>
    <row r="69" spans="1:7" x14ac:dyDescent="0.2">
      <c r="A69" s="9"/>
      <c r="B69" s="3"/>
      <c r="C69" s="3"/>
      <c r="D69" s="3"/>
      <c r="E69" s="3"/>
      <c r="F69" s="12"/>
      <c r="G69" s="12"/>
    </row>
    <row r="70" spans="1:7" x14ac:dyDescent="0.2">
      <c r="A70" s="9"/>
      <c r="B70" s="3"/>
      <c r="C70" s="3"/>
      <c r="D70" s="3"/>
      <c r="E70" s="3"/>
      <c r="F70" s="12"/>
      <c r="G70" s="12"/>
    </row>
    <row r="71" spans="1:7" x14ac:dyDescent="0.2">
      <c r="A71" s="9"/>
      <c r="B71" s="3"/>
      <c r="C71" s="3"/>
      <c r="D71" s="3"/>
      <c r="E71" s="3"/>
      <c r="F71" s="12"/>
      <c r="G71" s="12"/>
    </row>
    <row r="72" spans="1:7" x14ac:dyDescent="0.2">
      <c r="A72" s="9"/>
      <c r="B72" s="3"/>
      <c r="C72" s="3"/>
      <c r="D72" s="3"/>
      <c r="E72" s="3"/>
      <c r="F72" s="12"/>
      <c r="G72" s="12"/>
    </row>
    <row r="73" spans="1:7" x14ac:dyDescent="0.2">
      <c r="A73" s="9"/>
      <c r="B73" s="3"/>
      <c r="C73" s="3"/>
      <c r="D73" s="3"/>
      <c r="E73" s="3"/>
      <c r="F73" s="12"/>
      <c r="G73" s="12"/>
    </row>
    <row r="74" spans="1:7" x14ac:dyDescent="0.2">
      <c r="A74" s="9"/>
      <c r="B74" s="3"/>
      <c r="C74" s="3"/>
      <c r="D74" s="3"/>
      <c r="E74" s="3"/>
      <c r="F74" s="12"/>
      <c r="G74" s="12"/>
    </row>
    <row r="75" spans="1:7" x14ac:dyDescent="0.2">
      <c r="A75" s="9"/>
      <c r="B75" s="3"/>
      <c r="C75" s="3"/>
      <c r="D75" s="3"/>
      <c r="E75" s="3"/>
      <c r="F75" s="12"/>
      <c r="G75" s="12"/>
    </row>
    <row r="76" spans="1:7" x14ac:dyDescent="0.2">
      <c r="A76" s="9"/>
      <c r="B76" s="3"/>
      <c r="C76" s="3"/>
      <c r="D76" s="3"/>
      <c r="E76" s="3"/>
      <c r="F76" s="12"/>
      <c r="G76" s="12"/>
    </row>
    <row r="77" spans="1:7" x14ac:dyDescent="0.2">
      <c r="A77" s="9"/>
      <c r="B77" s="3"/>
      <c r="C77" s="3"/>
      <c r="D77" s="3"/>
      <c r="E77" s="3"/>
      <c r="F77" s="12"/>
      <c r="G77" s="12"/>
    </row>
    <row r="78" spans="1:7" x14ac:dyDescent="0.2">
      <c r="A78" s="9"/>
      <c r="B78" s="3"/>
      <c r="C78" s="3"/>
      <c r="D78" s="3"/>
      <c r="E78" s="3"/>
      <c r="F78" s="12"/>
      <c r="G78" s="12"/>
    </row>
    <row r="79" spans="1:7" x14ac:dyDescent="0.2">
      <c r="A79" s="9"/>
      <c r="B79" s="3"/>
      <c r="C79" s="3"/>
      <c r="D79" s="3"/>
      <c r="E79" s="3"/>
      <c r="F79" s="12"/>
      <c r="G79" s="12"/>
    </row>
    <row r="80" spans="1:7" x14ac:dyDescent="0.2">
      <c r="A80" s="9"/>
      <c r="B80" s="3"/>
      <c r="C80" s="3"/>
      <c r="D80" s="3"/>
      <c r="E80" s="3"/>
      <c r="F80" s="12"/>
      <c r="G80" s="12"/>
    </row>
    <row r="81" spans="1:7" x14ac:dyDescent="0.2">
      <c r="A81" s="9"/>
      <c r="B81" s="3"/>
      <c r="C81" s="3"/>
      <c r="D81" s="3"/>
      <c r="E81" s="3"/>
      <c r="F81" s="12"/>
      <c r="G81" s="12"/>
    </row>
    <row r="82" spans="1:7" x14ac:dyDescent="0.2">
      <c r="A82" s="9"/>
      <c r="B82" s="3"/>
      <c r="C82" s="3"/>
      <c r="D82" s="3"/>
      <c r="E82" s="3"/>
      <c r="F82" s="12"/>
      <c r="G82" s="12"/>
    </row>
    <row r="83" spans="1:7" x14ac:dyDescent="0.2">
      <c r="A83" s="9"/>
      <c r="B83" s="3"/>
      <c r="C83" s="3"/>
      <c r="D83" s="3"/>
      <c r="E83" s="3"/>
      <c r="F83" s="12"/>
      <c r="G83" s="12"/>
    </row>
    <row r="84" spans="1:7" x14ac:dyDescent="0.2">
      <c r="A84" s="9"/>
      <c r="B84" s="3"/>
      <c r="C84" s="3"/>
      <c r="D84" s="3"/>
      <c r="E84" s="3"/>
      <c r="F84" s="12"/>
      <c r="G84" s="12"/>
    </row>
    <row r="85" spans="1:7" x14ac:dyDescent="0.2">
      <c r="A85" s="9"/>
      <c r="B85" s="3"/>
      <c r="C85" s="3"/>
      <c r="D85" s="3"/>
      <c r="E85" s="3"/>
      <c r="F85" s="12"/>
      <c r="G85" s="12"/>
    </row>
    <row r="86" spans="1:7" x14ac:dyDescent="0.2">
      <c r="A86" s="9"/>
      <c r="B86" s="3"/>
      <c r="C86" s="3"/>
      <c r="D86" s="3"/>
      <c r="E86" s="3"/>
      <c r="F86" s="12"/>
      <c r="G86" s="12"/>
    </row>
    <row r="87" spans="1:7" x14ac:dyDescent="0.2">
      <c r="A87" s="9"/>
      <c r="B87" s="3"/>
      <c r="C87" s="3"/>
      <c r="D87" s="3"/>
      <c r="E87" s="3"/>
      <c r="F87" s="12"/>
      <c r="G87" s="12"/>
    </row>
    <row r="88" spans="1:7" x14ac:dyDescent="0.2">
      <c r="A88" s="9"/>
      <c r="B88" s="3"/>
      <c r="C88" s="3"/>
      <c r="D88" s="3"/>
      <c r="E88" s="3"/>
      <c r="F88" s="12"/>
      <c r="G88" s="12"/>
    </row>
    <row r="89" spans="1:7" x14ac:dyDescent="0.2">
      <c r="A89" s="9"/>
      <c r="B89" s="3"/>
      <c r="C89" s="3"/>
      <c r="D89" s="3"/>
      <c r="E89" s="3"/>
      <c r="F89" s="12"/>
      <c r="G89" s="12"/>
    </row>
    <row r="90" spans="1:7" x14ac:dyDescent="0.2">
      <c r="A90" s="9"/>
      <c r="B90" s="3"/>
      <c r="C90" s="3"/>
      <c r="D90" s="3"/>
      <c r="E90" s="3"/>
      <c r="F90" s="12"/>
      <c r="G90" s="12"/>
    </row>
    <row r="91" spans="1:7" x14ac:dyDescent="0.2">
      <c r="A91" s="9"/>
      <c r="B91" s="3"/>
      <c r="C91" s="3"/>
      <c r="D91" s="3"/>
      <c r="E91" s="3"/>
      <c r="F91" s="12"/>
      <c r="G91" s="12"/>
    </row>
    <row r="92" spans="1:7" x14ac:dyDescent="0.2">
      <c r="A92" s="9"/>
      <c r="B92" s="3"/>
      <c r="C92" s="3"/>
      <c r="D92" s="3"/>
      <c r="E92" s="3"/>
      <c r="F92" s="12"/>
      <c r="G92" s="12"/>
    </row>
    <row r="93" spans="1:7" x14ac:dyDescent="0.2">
      <c r="A93" s="9"/>
      <c r="B93" s="3"/>
      <c r="C93" s="3"/>
      <c r="D93" s="3"/>
      <c r="E93" s="3"/>
      <c r="F93" s="12"/>
      <c r="G93" s="12"/>
    </row>
    <row r="94" spans="1:7" x14ac:dyDescent="0.2">
      <c r="A94" s="9"/>
      <c r="B94" s="3"/>
      <c r="C94" s="3"/>
      <c r="D94" s="3"/>
      <c r="E94" s="3"/>
      <c r="F94" s="12"/>
      <c r="G94" s="12"/>
    </row>
    <row r="95" spans="1:7" x14ac:dyDescent="0.2">
      <c r="A95" s="9"/>
      <c r="B95" s="3"/>
      <c r="C95" s="3"/>
      <c r="D95" s="3"/>
      <c r="E95" s="3"/>
      <c r="F95" s="12"/>
      <c r="G95" s="12"/>
    </row>
    <row r="96" spans="1:7" x14ac:dyDescent="0.2">
      <c r="A96" s="9"/>
      <c r="B96" s="3"/>
      <c r="C96" s="3"/>
      <c r="D96" s="3"/>
      <c r="E96" s="3"/>
      <c r="F96" s="12"/>
      <c r="G96" s="12"/>
    </row>
    <row r="97" spans="1:7" x14ac:dyDescent="0.2">
      <c r="A97" s="9"/>
      <c r="B97" s="3"/>
      <c r="C97" s="3"/>
      <c r="D97" s="3"/>
      <c r="E97" s="3"/>
      <c r="F97" s="12"/>
      <c r="G97" s="12"/>
    </row>
    <row r="98" spans="1:7" x14ac:dyDescent="0.2">
      <c r="A98" s="9"/>
      <c r="B98" s="3"/>
      <c r="C98" s="3"/>
      <c r="D98" s="3"/>
      <c r="E98" s="3"/>
      <c r="F98" s="12"/>
      <c r="G98" s="12"/>
    </row>
    <row r="99" spans="1:7" x14ac:dyDescent="0.2">
      <c r="A99" s="9"/>
      <c r="B99" s="3"/>
      <c r="C99" s="3"/>
      <c r="D99" s="3"/>
      <c r="E99" s="3"/>
      <c r="F99" s="12"/>
      <c r="G99" s="12"/>
    </row>
  </sheetData>
  <autoFilter ref="A1:G63" xr:uid="{B72D1011-0947-B647-840C-CF1A9F40C7EC}"/>
  <pageMargins left="0.7" right="0.7" top="0.75" bottom="0.75" header="0.3" footer="0.3"/>
  <pageSetup paperSize="9" orientation="portrait" horizontalDpi="0" verticalDpi="0"/>
  <headerFooter>
    <oddFooter>&amp;L_x000D_&amp;1#&amp;"Calibri"&amp;6&amp;K737373 BUSINESS DOCUMENT  This document is intended for business use and should be distributed to intended recipients only.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5F45F7C4-AC4A-2841-9CF4-81CE9AE166D1}">
            <xm:f>Phase!$A$4</xm:f>
            <x14:dxf>
              <font>
                <color theme="1"/>
              </font>
              <fill>
                <patternFill>
                  <bgColor rgb="FFFFC000"/>
                </patternFill>
              </fill>
            </x14:dxf>
          </x14:cfRule>
          <x14:cfRule type="cellIs" priority="2" operator="equal" id="{5F7B04F5-F868-4244-B3CD-CC7AAFD50E53}">
            <xm:f>Phase!$A$2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ellIs" priority="3" operator="equal" id="{57F2CF54-E8AD-E549-A55C-982F4A85E067}">
            <xm:f>Phase!$A$3</xm:f>
            <x14:dxf>
              <font>
                <color theme="1"/>
              </font>
              <fill>
                <patternFill>
                  <bgColor rgb="FFFFFF00"/>
                </patternFill>
              </fill>
            </x14:dxf>
          </x14:cfRule>
          <xm:sqref>E1:E1048576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0BBA944-6235-874D-B01F-B33624052472}">
          <x14:formula1>
            <xm:f>Capabilities!$A$2:$A$8</xm:f>
          </x14:formula1>
          <xm:sqref>A2:A74</xm:sqref>
        </x14:dataValidation>
        <x14:dataValidation type="list" allowBlank="1" showInputMessage="1" showErrorMessage="1" xr:uid="{0AAF45D1-9BCE-A449-B1EA-7885E13FB80D}">
          <x14:formula1>
            <xm:f>Phase!$A$2:$A$4</xm:f>
          </x14:formula1>
          <xm:sqref>E2:E63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4D813-1B32-6E4E-9F28-88D3364EC339}">
  <dimension ref="A1:F61"/>
  <sheetViews>
    <sheetView workbookViewId="0">
      <selection activeCell="E2" sqref="E2"/>
    </sheetView>
  </sheetViews>
  <sheetFormatPr baseColWidth="10" defaultRowHeight="16" x14ac:dyDescent="0.2"/>
  <cols>
    <col min="1" max="1" width="24.5" style="1" bestFit="1" customWidth="1"/>
    <col min="2" max="2" width="64" style="1" customWidth="1"/>
    <col min="3" max="3" width="15.33203125" customWidth="1"/>
    <col min="4" max="4" width="14" bestFit="1" customWidth="1"/>
    <col min="5" max="6" width="10.83203125" style="13"/>
  </cols>
  <sheetData>
    <row r="1" spans="1:6" ht="20" x14ac:dyDescent="0.25">
      <c r="A1" s="2" t="s">
        <v>61</v>
      </c>
      <c r="B1" s="7" t="s">
        <v>0</v>
      </c>
      <c r="C1" s="2" t="s">
        <v>1</v>
      </c>
      <c r="D1" s="2" t="s">
        <v>4</v>
      </c>
      <c r="E1" s="11" t="s">
        <v>2</v>
      </c>
      <c r="F1" s="11" t="s">
        <v>3</v>
      </c>
    </row>
    <row r="2" spans="1:6" ht="17" x14ac:dyDescent="0.2">
      <c r="A2" s="4" t="str" cm="1">
        <f t="array" ref="A2:F34">_xlfn.LET(_xlpm.data,_xlfn._xlws.FILTER(_xlfn.CHOOSECOLS(Master!A2:G94,1,2,3,4,6,7), Master!E2:E94="Now",""), IF(_xlpm.data=0, "", _xlpm.data))</f>
        <v/>
      </c>
      <c r="B2" s="4" t="str">
        <v>Cruise Reports</v>
      </c>
      <c r="C2" s="3" t="str">
        <v>Cruise</v>
      </c>
      <c r="D2" s="3" t="str">
        <v>FO</v>
      </c>
      <c r="E2" s="12">
        <v>45847</v>
      </c>
      <c r="F2" s="12">
        <v>45930</v>
      </c>
    </row>
    <row r="3" spans="1:6" ht="17" x14ac:dyDescent="0.2">
      <c r="A3" s="4" t="str">
        <v>Roster</v>
      </c>
      <c r="B3" s="4" t="str">
        <v>Flight Crew Recency</v>
      </c>
      <c r="C3" s="3" t="str">
        <v>Crew Pulse</v>
      </c>
      <c r="D3" s="3" t="str">
        <v>FO</v>
      </c>
      <c r="E3" s="12">
        <v>45847</v>
      </c>
      <c r="F3" s="12">
        <v>45930</v>
      </c>
    </row>
    <row r="4" spans="1:6" ht="17" x14ac:dyDescent="0.2">
      <c r="A4" s="4" t="str">
        <v/>
      </c>
      <c r="B4" s="4" t="str">
        <v>Printing of GCAA licences in HQ</v>
      </c>
      <c r="C4" s="3" t="str">
        <v>Cruise</v>
      </c>
      <c r="D4" s="3" t="str">
        <v>FO</v>
      </c>
      <c r="E4" s="12">
        <v>45847</v>
      </c>
      <c r="F4" s="12">
        <v>45930</v>
      </c>
    </row>
    <row r="5" spans="1:6" ht="17" x14ac:dyDescent="0.2">
      <c r="A5" s="4" t="str">
        <v/>
      </c>
      <c r="B5" s="4" t="str">
        <v>Crew Pulse IMprovements</v>
      </c>
      <c r="C5" s="3" t="str">
        <v>Cruise</v>
      </c>
      <c r="D5" s="3" t="str">
        <v>FO</v>
      </c>
      <c r="E5" s="12">
        <v>45847</v>
      </c>
      <c r="F5" s="12">
        <v>45930</v>
      </c>
    </row>
    <row r="6" spans="1:6" ht="17" x14ac:dyDescent="0.2">
      <c r="A6" s="4" t="str">
        <v/>
      </c>
      <c r="B6" s="4" t="str">
        <v>Crew Pulse - eTechLog onboarded features</v>
      </c>
      <c r="C6" s="3" t="str">
        <v>Crew Pulse</v>
      </c>
      <c r="D6" s="3" t="str">
        <v>FO</v>
      </c>
      <c r="E6" s="12">
        <v>45847</v>
      </c>
      <c r="F6" s="12">
        <v>45930</v>
      </c>
    </row>
    <row r="7" spans="1:6" ht="17" x14ac:dyDescent="0.2">
      <c r="A7" s="4" t="str">
        <v/>
      </c>
      <c r="B7" s="4" t="str">
        <v xml:space="preserve">Duty overlap report </v>
      </c>
      <c r="C7" s="3" t="str">
        <v>Cruise</v>
      </c>
      <c r="D7" s="3" t="str">
        <v>FO</v>
      </c>
      <c r="E7" s="12">
        <v>45847</v>
      </c>
      <c r="F7" s="12">
        <v>45930</v>
      </c>
    </row>
    <row r="8" spans="1:6" ht="17" x14ac:dyDescent="0.2">
      <c r="A8" s="4" t="str">
        <v/>
      </c>
      <c r="B8" s="4" t="str">
        <v>FCL- ELP qualification not be updated with TA validity for Typerating/fleet transfer</v>
      </c>
      <c r="C8" s="3" t="str">
        <v>Cruise</v>
      </c>
      <c r="D8" s="3" t="str">
        <v>FO</v>
      </c>
      <c r="E8" s="12">
        <v>45847</v>
      </c>
      <c r="F8" s="12">
        <v>45930</v>
      </c>
    </row>
    <row r="9" spans="1:6" ht="34" x14ac:dyDescent="0.2">
      <c r="A9" s="4" t="str">
        <v>Roster</v>
      </c>
      <c r="B9" s="4" t="str">
        <v xml:space="preserve">FCL - Variation flights for CC to also show on Captain roster and marked appropriately </v>
      </c>
      <c r="C9" s="3" t="str">
        <v>Crew Pulse</v>
      </c>
      <c r="D9" s="3" t="str">
        <v>FO</v>
      </c>
      <c r="E9" s="12">
        <v>45847</v>
      </c>
      <c r="F9" s="12">
        <v>45930</v>
      </c>
    </row>
    <row r="10" spans="1:6" ht="34" x14ac:dyDescent="0.2">
      <c r="A10" s="4" t="str">
        <v/>
      </c>
      <c r="B10" s="4" t="str">
        <v xml:space="preserve">My Crew Function </v>
      </c>
      <c r="C10" s="3" t="str">
        <v>Cruise</v>
      </c>
      <c r="D10" s="3" t="str">
        <v>FO</v>
      </c>
      <c r="E10" s="12">
        <v>45847</v>
      </c>
      <c r="F10" s="12">
        <v>45930</v>
      </c>
    </row>
    <row r="11" spans="1:6" ht="17" x14ac:dyDescent="0.2">
      <c r="A11" s="4" t="str">
        <v/>
      </c>
      <c r="B11" s="4" t="str">
        <v>GCAA Service - Approved Date</v>
      </c>
      <c r="C11" s="3" t="str">
        <v>Cruise</v>
      </c>
      <c r="D11" s="3" t="str">
        <v>FO</v>
      </c>
      <c r="E11" s="12">
        <v>45847</v>
      </c>
      <c r="F11" s="12">
        <v>45930</v>
      </c>
    </row>
    <row r="12" spans="1:6" ht="17" x14ac:dyDescent="0.2">
      <c r="A12" s="4" t="str">
        <v>Duty Preparation</v>
      </c>
      <c r="B12" s="4" t="str">
        <v>Crew ops/ Fleet Crew Pulse - My Flight Docs</v>
      </c>
      <c r="C12" s="3" t="str">
        <v>Crew Pulse</v>
      </c>
      <c r="D12" s="3" t="str">
        <v>FO</v>
      </c>
      <c r="E12" s="12">
        <v>45847</v>
      </c>
      <c r="F12" s="12">
        <v>45930</v>
      </c>
    </row>
    <row r="13" spans="1:6" ht="17" x14ac:dyDescent="0.2">
      <c r="A13" s="4" t="str">
        <v>Crew Comms. &amp; Engagement</v>
      </c>
      <c r="B13" s="4" t="str">
        <v>Broadcast Reels</v>
      </c>
      <c r="C13" s="3" t="str">
        <v>Crew Pulse</v>
      </c>
      <c r="D13" s="3" t="str">
        <v>SD</v>
      </c>
      <c r="E13" s="12">
        <v>45847</v>
      </c>
      <c r="F13" s="12">
        <v>45930</v>
      </c>
    </row>
    <row r="14" spans="1:6" ht="17" x14ac:dyDescent="0.2">
      <c r="A14" s="4" t="str">
        <v>Crew Comms. &amp; Engagement</v>
      </c>
      <c r="B14" s="4" t="str">
        <v xml:space="preserve">Push notification to select crew and flights (Crew Hotel Survey) </v>
      </c>
      <c r="C14" s="3" t="str">
        <v>Crew Pulse</v>
      </c>
      <c r="D14" s="3" t="str">
        <v>SD</v>
      </c>
      <c r="E14" s="12">
        <v>45847</v>
      </c>
      <c r="F14" s="12">
        <v>45930</v>
      </c>
    </row>
    <row r="15" spans="1:6" ht="17" x14ac:dyDescent="0.2">
      <c r="A15" s="4" t="str">
        <v>Roster</v>
      </c>
      <c r="B15" s="4" t="str">
        <v>eSwap</v>
      </c>
      <c r="C15" s="3" t="str">
        <v>Crew Pulse</v>
      </c>
      <c r="D15" s="3" t="str">
        <v>SD</v>
      </c>
      <c r="E15" s="12">
        <v>45847</v>
      </c>
      <c r="F15" s="12">
        <v>45930</v>
      </c>
    </row>
    <row r="16" spans="1:6" ht="17" x14ac:dyDescent="0.2">
      <c r="A16" s="4" t="str">
        <v/>
      </c>
      <c r="B16" s="4" t="str">
        <v>Employee from EK Grade moved to Cabin Crew Grade</v>
      </c>
      <c r="C16" s="3" t="str">
        <v>Paradise</v>
      </c>
      <c r="D16" s="3" t="str">
        <v>SD</v>
      </c>
      <c r="E16" s="12">
        <v>45847</v>
      </c>
      <c r="F16" s="12">
        <v>45930</v>
      </c>
    </row>
    <row r="17" spans="1:6" ht="17" x14ac:dyDescent="0.2">
      <c r="A17" s="4" t="str">
        <v/>
      </c>
      <c r="B17" s="4" t="str">
        <v>Coruson flow to Paradise and SAFE historical data</v>
      </c>
      <c r="C17" s="3" t="str">
        <v>Paradise</v>
      </c>
      <c r="D17" s="3" t="str">
        <v>SD</v>
      </c>
      <c r="E17" s="12">
        <v>45847</v>
      </c>
      <c r="F17" s="12">
        <v>45930</v>
      </c>
    </row>
    <row r="18" spans="1:6" ht="17" x14ac:dyDescent="0.2">
      <c r="A18" s="4" t="str">
        <v>Duty Preparation</v>
      </c>
      <c r="B18" s="4" t="str">
        <v>My Flight Documents - GCAA Attestation - Phase 2</v>
      </c>
      <c r="C18" s="3" t="str">
        <v>Crew Pulse</v>
      </c>
      <c r="D18" s="3" t="str">
        <v>SD</v>
      </c>
      <c r="E18" s="12">
        <v>45847</v>
      </c>
      <c r="F18" s="12">
        <v>45930</v>
      </c>
    </row>
    <row r="19" spans="1:6" ht="17" x14ac:dyDescent="0.2">
      <c r="A19" s="4" t="str">
        <v>Crew Comms. &amp; Engagement</v>
      </c>
      <c r="B19" s="4" t="str">
        <v>Push notifications to stakeholders when there are comments posted under respective articles</v>
      </c>
      <c r="C19" s="3" t="str">
        <v>Crew Pulse</v>
      </c>
      <c r="D19" s="3" t="str">
        <v>SD</v>
      </c>
      <c r="E19" s="12">
        <v>45847</v>
      </c>
      <c r="F19" s="12">
        <v>45930</v>
      </c>
    </row>
    <row r="20" spans="1:6" ht="34" x14ac:dyDescent="0.2">
      <c r="A20" s="4" t="str">
        <v/>
      </c>
      <c r="B20" s="4" t="str">
        <v>Coruson</v>
      </c>
      <c r="C20" s="3" t="str">
        <v>Paradise</v>
      </c>
      <c r="D20" s="3" t="str">
        <v>SD</v>
      </c>
      <c r="E20" s="12">
        <v>45847</v>
      </c>
      <c r="F20" s="12">
        <v>45930</v>
      </c>
    </row>
    <row r="21" spans="1:6" ht="17" x14ac:dyDescent="0.2">
      <c r="A21" s="4" t="str">
        <v>Duty Preparation</v>
      </c>
      <c r="B21" s="4" t="str">
        <v>Showing XXO (Day off) on Roster</v>
      </c>
      <c r="C21" s="3" t="str">
        <v>Crew Pulse</v>
      </c>
      <c r="D21" s="3" t="str">
        <v>SD</v>
      </c>
      <c r="E21" s="12">
        <v>45847</v>
      </c>
      <c r="F21" s="12">
        <v>45930</v>
      </c>
    </row>
    <row r="22" spans="1:6" ht="17" x14ac:dyDescent="0.2">
      <c r="A22" s="4" t="str">
        <v>Roster</v>
      </c>
      <c r="B22" s="4" t="str">
        <v>Disruption Mode - Roster Changes and Flight Changes</v>
      </c>
      <c r="C22" s="3" t="str">
        <v>Crew Pulse</v>
      </c>
      <c r="D22" s="3" t="str">
        <v>SD</v>
      </c>
      <c r="E22" s="12">
        <v>45847</v>
      </c>
      <c r="F22" s="12">
        <v>45930</v>
      </c>
    </row>
    <row r="23" spans="1:6" ht="17" x14ac:dyDescent="0.2">
      <c r="A23" s="4" t="str">
        <v>Crew Comms. &amp; Engagement</v>
      </c>
      <c r="B23" s="4" t="str">
        <v xml:space="preserve">Real-time Crew Interaction Monitoring of articles </v>
      </c>
      <c r="C23" s="3" t="str">
        <v>Crew Pulse</v>
      </c>
      <c r="D23" s="3" t="str">
        <v>SD</v>
      </c>
      <c r="E23" s="12">
        <v>45847</v>
      </c>
      <c r="F23" s="12">
        <v>45930</v>
      </c>
    </row>
    <row r="24" spans="1:6" ht="17" x14ac:dyDescent="0.2">
      <c r="A24" s="4" t="str">
        <v>Crew Comms. &amp; Engagement</v>
      </c>
      <c r="B24" s="4" t="str">
        <v>Like and Love feature of the comments and article</v>
      </c>
      <c r="C24" s="3" t="str">
        <v>Crew Pulse</v>
      </c>
      <c r="D24" s="3" t="str">
        <v>SD</v>
      </c>
      <c r="E24" s="12">
        <v>45847</v>
      </c>
      <c r="F24" s="12">
        <v>45930</v>
      </c>
    </row>
    <row r="25" spans="1:6" ht="17" x14ac:dyDescent="0.2">
      <c r="A25" s="4" t="str">
        <v/>
      </c>
      <c r="B25" s="4" t="str">
        <v>CMC Auto Qualification Update for Cabin Crew</v>
      </c>
      <c r="C25" s="3" t="str">
        <v>Paradise</v>
      </c>
      <c r="D25" s="3" t="str">
        <v>SD</v>
      </c>
      <c r="E25" s="12">
        <v>45847</v>
      </c>
      <c r="F25" s="12">
        <v>45930</v>
      </c>
    </row>
    <row r="26" spans="1:6" ht="17" x14ac:dyDescent="0.2">
      <c r="A26" s="4" t="str">
        <v>Pre-Flight (Day of Ops)</v>
      </c>
      <c r="B26" s="4" t="str">
        <v>E-attestation to MFD on Crew Pulse</v>
      </c>
      <c r="C26" s="3" t="str">
        <v>Crew Pulse</v>
      </c>
      <c r="D26" s="3" t="str">
        <v>SD</v>
      </c>
      <c r="E26" s="12">
        <v>45847</v>
      </c>
      <c r="F26" s="12">
        <v>45930</v>
      </c>
    </row>
    <row r="27" spans="1:6" ht="17" x14ac:dyDescent="0.2">
      <c r="A27" s="4" t="str">
        <v>Pre-Flight (Day of Ops)</v>
      </c>
      <c r="B27" s="4" t="str">
        <v>CMC Digital to MFD on Crew Pulse</v>
      </c>
      <c r="C27" s="3" t="str">
        <v>Crew Pulse</v>
      </c>
      <c r="D27" s="3" t="str">
        <v>SD</v>
      </c>
      <c r="E27" s="12">
        <v>45847</v>
      </c>
      <c r="F27" s="12">
        <v>45930</v>
      </c>
    </row>
    <row r="28" spans="1:6" ht="17" x14ac:dyDescent="0.2">
      <c r="A28" s="4" t="str">
        <v/>
      </c>
      <c r="B28" s="4" t="str">
        <v>Personal Travel and Duty Overlap Enhancement</v>
      </c>
      <c r="C28" s="3" t="str">
        <v>Paradise</v>
      </c>
      <c r="D28" s="3" t="str">
        <v>SD</v>
      </c>
      <c r="E28" s="12">
        <v>45847</v>
      </c>
      <c r="F28" s="12">
        <v>45930</v>
      </c>
    </row>
    <row r="29" spans="1:6" ht="17" x14ac:dyDescent="0.2">
      <c r="A29" s="4" t="str">
        <v/>
      </c>
      <c r="B29" s="4" t="str">
        <v xml:space="preserve">Coruson Go Live with CAR Reports </v>
      </c>
      <c r="C29" s="3" t="str">
        <v>Paradise</v>
      </c>
      <c r="D29" s="3" t="str">
        <v>SD</v>
      </c>
      <c r="E29" s="12">
        <v>45847</v>
      </c>
      <c r="F29" s="12">
        <v>45930</v>
      </c>
    </row>
    <row r="30" spans="1:6" ht="17" x14ac:dyDescent="0.2">
      <c r="A30" s="4" t="str">
        <v/>
      </c>
      <c r="B30" s="4" t="str">
        <v xml:space="preserve">Auto Calculation of Attendance Matrix </v>
      </c>
      <c r="C30" s="3" t="str">
        <v>Paradise</v>
      </c>
      <c r="D30" s="3" t="str">
        <v>SD</v>
      </c>
      <c r="E30" s="12">
        <v>45847</v>
      </c>
      <c r="F30" s="12">
        <v>45930</v>
      </c>
    </row>
    <row r="31" spans="1:6" ht="17" x14ac:dyDescent="0.2">
      <c r="A31" s="4" t="str">
        <v>Crew Comms. &amp; Engagement</v>
      </c>
      <c r="B31" s="4" t="str">
        <v>Text to Speech</v>
      </c>
      <c r="C31" s="3" t="str">
        <v>Crew Pulse</v>
      </c>
      <c r="D31" s="3" t="str">
        <v>SD</v>
      </c>
      <c r="E31" s="12">
        <v>45847</v>
      </c>
      <c r="F31" s="12">
        <v>45930</v>
      </c>
    </row>
    <row r="32" spans="1:6" ht="17" x14ac:dyDescent="0.2">
      <c r="A32" s="4" t="str">
        <v>Roster</v>
      </c>
      <c r="B32" s="4" t="str">
        <v xml:space="preserve">Flights requiring acclimatization </v>
      </c>
      <c r="C32" s="3" t="str">
        <v>Crew Pulse</v>
      </c>
      <c r="D32" s="3" t="str">
        <v>SD</v>
      </c>
      <c r="E32" s="12">
        <v>45847</v>
      </c>
      <c r="F32" s="12">
        <v>45930</v>
      </c>
    </row>
    <row r="33" spans="1:6" ht="17" x14ac:dyDescent="0.2">
      <c r="A33" s="4" t="str">
        <v/>
      </c>
      <c r="B33" s="4" t="str">
        <v xml:space="preserve">Multiple Sub Incidents in One Incident </v>
      </c>
      <c r="C33" s="3" t="str">
        <v>Paradise</v>
      </c>
      <c r="D33" s="3" t="str">
        <v>SD</v>
      </c>
      <c r="E33" s="12">
        <v>45847</v>
      </c>
      <c r="F33" s="12">
        <v>45930</v>
      </c>
    </row>
    <row r="34" spans="1:6" ht="17" x14ac:dyDescent="0.2">
      <c r="A34" s="4" t="str">
        <v>Duty Preparation</v>
      </c>
      <c r="B34" s="4" t="str">
        <v>Flight Details 2.0:  Wake-up/Pick up time</v>
      </c>
      <c r="C34" s="3" t="str">
        <v>Crew Pulse</v>
      </c>
      <c r="D34" s="3" t="str">
        <v>SD</v>
      </c>
      <c r="E34" s="12">
        <v>45847</v>
      </c>
      <c r="F34" s="12">
        <v>45930</v>
      </c>
    </row>
    <row r="35" spans="1:6" x14ac:dyDescent="0.2">
      <c r="A35" s="4"/>
      <c r="B35" s="4"/>
      <c r="C35" s="3"/>
      <c r="D35" s="3"/>
      <c r="E35" s="12"/>
      <c r="F35" s="12"/>
    </row>
    <row r="36" spans="1:6" x14ac:dyDescent="0.2">
      <c r="A36" s="4"/>
      <c r="B36" s="4"/>
      <c r="C36" s="3"/>
      <c r="D36" s="3"/>
      <c r="E36" s="12"/>
      <c r="F36" s="12"/>
    </row>
    <row r="37" spans="1:6" x14ac:dyDescent="0.2">
      <c r="A37" s="4"/>
      <c r="B37" s="4"/>
      <c r="C37" s="3"/>
      <c r="D37" s="3"/>
      <c r="E37" s="12"/>
      <c r="F37" s="12"/>
    </row>
    <row r="38" spans="1:6" x14ac:dyDescent="0.2">
      <c r="A38" s="4"/>
      <c r="B38" s="4"/>
      <c r="C38" s="3"/>
      <c r="D38" s="3"/>
      <c r="E38" s="12"/>
      <c r="F38" s="12"/>
    </row>
    <row r="39" spans="1:6" x14ac:dyDescent="0.2">
      <c r="A39" s="4"/>
      <c r="B39" s="4"/>
      <c r="C39" s="3"/>
      <c r="D39" s="3"/>
      <c r="E39" s="12"/>
      <c r="F39" s="12"/>
    </row>
    <row r="40" spans="1:6" x14ac:dyDescent="0.2">
      <c r="A40" s="4"/>
      <c r="B40" s="4"/>
      <c r="C40" s="3"/>
      <c r="D40" s="3"/>
      <c r="E40" s="12"/>
      <c r="F40" s="12"/>
    </row>
    <row r="41" spans="1:6" x14ac:dyDescent="0.2">
      <c r="A41" s="4"/>
      <c r="B41" s="4"/>
      <c r="C41" s="3"/>
      <c r="D41" s="3"/>
      <c r="E41" s="12"/>
      <c r="F41" s="12"/>
    </row>
    <row r="42" spans="1:6" x14ac:dyDescent="0.2">
      <c r="A42" s="4"/>
      <c r="B42" s="4"/>
      <c r="C42" s="3"/>
      <c r="D42" s="3"/>
      <c r="E42" s="12"/>
      <c r="F42" s="12"/>
    </row>
    <row r="43" spans="1:6" x14ac:dyDescent="0.2">
      <c r="A43" s="4"/>
      <c r="B43" s="4"/>
      <c r="C43" s="3"/>
      <c r="D43" s="3"/>
      <c r="E43" s="12"/>
      <c r="F43" s="12"/>
    </row>
    <row r="44" spans="1:6" x14ac:dyDescent="0.2">
      <c r="A44" s="4"/>
      <c r="B44" s="4"/>
      <c r="C44" s="3"/>
      <c r="D44" s="3"/>
      <c r="E44" s="12"/>
      <c r="F44" s="12"/>
    </row>
    <row r="45" spans="1:6" x14ac:dyDescent="0.2">
      <c r="A45" s="4"/>
      <c r="B45" s="4"/>
      <c r="C45" s="3"/>
      <c r="D45" s="3"/>
      <c r="E45" s="12"/>
      <c r="F45" s="12"/>
    </row>
    <row r="46" spans="1:6" x14ac:dyDescent="0.2">
      <c r="A46" s="4"/>
      <c r="B46" s="4"/>
      <c r="C46" s="3"/>
      <c r="D46" s="3"/>
      <c r="E46" s="12"/>
      <c r="F46" s="12"/>
    </row>
    <row r="47" spans="1:6" x14ac:dyDescent="0.2">
      <c r="A47" s="4"/>
      <c r="B47" s="4"/>
      <c r="C47" s="3"/>
      <c r="D47" s="3"/>
      <c r="E47" s="12"/>
      <c r="F47" s="12"/>
    </row>
    <row r="48" spans="1:6" x14ac:dyDescent="0.2">
      <c r="A48" s="4"/>
      <c r="B48" s="4"/>
      <c r="C48" s="3"/>
      <c r="D48" s="3"/>
      <c r="E48" s="12"/>
      <c r="F48" s="12"/>
    </row>
    <row r="49" spans="1:6" x14ac:dyDescent="0.2">
      <c r="A49" s="4"/>
      <c r="B49" s="4"/>
      <c r="C49" s="3"/>
      <c r="D49" s="3"/>
      <c r="E49" s="12"/>
      <c r="F49" s="12"/>
    </row>
    <row r="50" spans="1:6" x14ac:dyDescent="0.2">
      <c r="A50" s="4"/>
      <c r="B50" s="4"/>
      <c r="C50" s="3"/>
      <c r="D50" s="3"/>
      <c r="E50" s="12"/>
      <c r="F50" s="12"/>
    </row>
    <row r="51" spans="1:6" x14ac:dyDescent="0.2">
      <c r="A51" s="4"/>
      <c r="B51" s="4"/>
      <c r="C51" s="3"/>
      <c r="D51" s="3"/>
      <c r="E51" s="12"/>
      <c r="F51" s="12"/>
    </row>
    <row r="52" spans="1:6" x14ac:dyDescent="0.2">
      <c r="A52" s="4"/>
      <c r="B52" s="4"/>
      <c r="C52" s="3"/>
      <c r="D52" s="3"/>
      <c r="E52" s="12"/>
      <c r="F52" s="12"/>
    </row>
    <row r="53" spans="1:6" x14ac:dyDescent="0.2">
      <c r="A53" s="4"/>
      <c r="B53" s="4"/>
      <c r="C53" s="3"/>
      <c r="D53" s="3"/>
      <c r="E53" s="12"/>
      <c r="F53" s="12"/>
    </row>
    <row r="54" spans="1:6" x14ac:dyDescent="0.2">
      <c r="A54" s="4"/>
      <c r="B54" s="4"/>
      <c r="C54" s="3"/>
      <c r="D54" s="3"/>
      <c r="E54" s="12"/>
      <c r="F54" s="12"/>
    </row>
    <row r="55" spans="1:6" x14ac:dyDescent="0.2">
      <c r="A55" s="4"/>
      <c r="B55" s="4"/>
      <c r="C55" s="3"/>
      <c r="D55" s="3"/>
      <c r="E55" s="12"/>
      <c r="F55" s="12"/>
    </row>
    <row r="56" spans="1:6" x14ac:dyDescent="0.2">
      <c r="A56" s="4"/>
      <c r="B56" s="4"/>
      <c r="C56" s="3"/>
      <c r="D56" s="3"/>
      <c r="E56" s="12"/>
      <c r="F56" s="12"/>
    </row>
    <row r="57" spans="1:6" x14ac:dyDescent="0.2">
      <c r="A57" s="4"/>
      <c r="B57" s="4"/>
      <c r="C57" s="3"/>
      <c r="D57" s="3"/>
      <c r="E57" s="12"/>
      <c r="F57" s="12"/>
    </row>
    <row r="58" spans="1:6" x14ac:dyDescent="0.2">
      <c r="A58" s="4"/>
      <c r="B58" s="4"/>
      <c r="C58" s="3"/>
      <c r="D58" s="3"/>
      <c r="E58" s="12"/>
      <c r="F58" s="12"/>
    </row>
    <row r="59" spans="1:6" x14ac:dyDescent="0.2">
      <c r="A59" s="4"/>
      <c r="B59" s="4"/>
      <c r="C59" s="3"/>
      <c r="D59" s="3"/>
      <c r="E59" s="12"/>
      <c r="F59" s="12"/>
    </row>
    <row r="60" spans="1:6" x14ac:dyDescent="0.2">
      <c r="A60" s="4"/>
      <c r="B60" s="4"/>
      <c r="C60" s="3"/>
      <c r="D60" s="3"/>
      <c r="E60" s="12"/>
      <c r="F60" s="12"/>
    </row>
    <row r="61" spans="1:6" x14ac:dyDescent="0.2">
      <c r="A61" s="4"/>
      <c r="B61" s="4"/>
      <c r="C61" s="3"/>
      <c r="D61" s="3"/>
      <c r="E61" s="12"/>
      <c r="F61" s="12"/>
    </row>
  </sheetData>
  <pageMargins left="0.7" right="0.7" top="0.75" bottom="0.75" header="0.3" footer="0.3"/>
  <pageSetup paperSize="9" orientation="portrait" horizontalDpi="0" verticalDpi="0"/>
  <headerFooter>
    <oddFooter>&amp;L_x000D_&amp;1#&amp;"Calibri"&amp;6&amp;K737373 BUSINESS DOCUMENT  This document is intended for business use and should be distributed to intended recipients only.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E8C3-DF57-0D46-9FA4-60CCB4BD9407}">
  <dimension ref="A1:F50"/>
  <sheetViews>
    <sheetView workbookViewId="0">
      <selection activeCell="H4" sqref="H4"/>
    </sheetView>
  </sheetViews>
  <sheetFormatPr baseColWidth="10" defaultRowHeight="16" x14ac:dyDescent="0.2"/>
  <cols>
    <col min="1" max="1" width="32.83203125" bestFit="1" customWidth="1"/>
    <col min="2" max="2" width="51.33203125" style="1" customWidth="1"/>
    <col min="3" max="3" width="19.1640625" customWidth="1"/>
    <col min="4" max="4" width="16.33203125" customWidth="1"/>
    <col min="5" max="5" width="10.83203125" style="13" bestFit="1" customWidth="1"/>
    <col min="6" max="6" width="10.83203125" style="13"/>
  </cols>
  <sheetData>
    <row r="1" spans="1:6" ht="19" x14ac:dyDescent="0.25">
      <c r="A1" s="2" t="s">
        <v>61</v>
      </c>
      <c r="B1" s="2" t="s">
        <v>0</v>
      </c>
      <c r="C1" s="2" t="s">
        <v>1</v>
      </c>
      <c r="D1" s="2" t="s">
        <v>4</v>
      </c>
      <c r="E1" s="11" t="s">
        <v>2</v>
      </c>
      <c r="F1" s="11" t="s">
        <v>3</v>
      </c>
    </row>
    <row r="2" spans="1:6" ht="17" x14ac:dyDescent="0.2">
      <c r="A2" s="4" t="str" cm="1">
        <f t="array" ref="A2:F10">_xlfn.LET(_xlpm.data,_xlfn._xlws.FILTER(_xlfn.CHOOSECOLS(Master!A2:G94,1,2,3,4,6,7),Master!E2:E94="Next",""),IF(_xlpm.data=0,"",_xlpm.data))</f>
        <v/>
      </c>
      <c r="B2" s="4" t="str">
        <v>Cruise - Crew List Data Element</v>
      </c>
      <c r="C2" s="3" t="str">
        <v>Cruise</v>
      </c>
      <c r="D2" s="3" t="str">
        <v>FO</v>
      </c>
      <c r="E2" s="12">
        <v>45931</v>
      </c>
      <c r="F2" s="12">
        <v>45663</v>
      </c>
    </row>
    <row r="3" spans="1:6" ht="17" x14ac:dyDescent="0.2">
      <c r="A3" s="3" t="str">
        <v/>
      </c>
      <c r="B3" s="4" t="str">
        <v>Pre-EK airline</v>
      </c>
      <c r="C3" s="3" t="str">
        <v xml:space="preserve"> Cruise</v>
      </c>
      <c r="D3" s="3" t="str">
        <v>FO</v>
      </c>
      <c r="E3" s="12">
        <v>45931</v>
      </c>
      <c r="F3" s="12">
        <v>45663</v>
      </c>
    </row>
    <row r="4" spans="1:6" ht="51" x14ac:dyDescent="0.2">
      <c r="A4" s="3" t="str">
        <v/>
      </c>
      <c r="B4" s="4" t="str">
        <v xml:space="preserve">FCL - Automation of TMS codes update
</v>
      </c>
      <c r="C4" s="3" t="str">
        <v>Cruise</v>
      </c>
      <c r="D4" s="3" t="str">
        <v>FO</v>
      </c>
      <c r="E4" s="12">
        <v>45931</v>
      </c>
      <c r="F4" s="12">
        <v>45663</v>
      </c>
    </row>
    <row r="5" spans="1:6" ht="34" x14ac:dyDescent="0.2">
      <c r="A5" s="3" t="str">
        <v>Crew Comms. &amp; Engagement</v>
      </c>
      <c r="B5" s="4" t="str">
        <v>Podcasts</v>
      </c>
      <c r="C5" s="3" t="str">
        <v>Crew Pulse</v>
      </c>
      <c r="D5" s="3" t="str">
        <v>SD</v>
      </c>
      <c r="E5" s="12">
        <v>45931</v>
      </c>
      <c r="F5" s="12">
        <v>45663</v>
      </c>
    </row>
    <row r="6" spans="1:6" ht="17" x14ac:dyDescent="0.2">
      <c r="A6" s="3" t="str">
        <v>Crew Comms. &amp; Engagement</v>
      </c>
      <c r="B6" s="4" t="str">
        <v>New Engagement Calendar</v>
      </c>
      <c r="C6" s="3" t="str">
        <v>Crew Pulse</v>
      </c>
      <c r="D6" s="3" t="str">
        <v>SD</v>
      </c>
      <c r="E6" s="12">
        <v>45931</v>
      </c>
      <c r="F6" s="12">
        <v>45663</v>
      </c>
    </row>
    <row r="7" spans="1:6" ht="17" x14ac:dyDescent="0.2">
      <c r="A7" s="3" t="str">
        <v>Crew Comms. &amp; Engagement</v>
      </c>
      <c r="B7" s="4" t="str">
        <v xml:space="preserve">Engagement Countdown Feature </v>
      </c>
      <c r="C7" s="3" t="str">
        <v>Crew Pulse</v>
      </c>
      <c r="D7" s="3" t="str">
        <v>SD</v>
      </c>
      <c r="E7" s="12">
        <v>45931</v>
      </c>
      <c r="F7" s="12">
        <v>45663</v>
      </c>
    </row>
    <row r="8" spans="1:6" ht="17" x14ac:dyDescent="0.2">
      <c r="A8" s="3" t="str">
        <v/>
      </c>
      <c r="B8" s="4" t="str">
        <v>Crew Pulse restricted access</v>
      </c>
      <c r="C8" s="3" t="str">
        <v>Crew Pulse</v>
      </c>
      <c r="D8" s="3" t="str">
        <v>SD</v>
      </c>
      <c r="E8" s="12">
        <v>45931</v>
      </c>
      <c r="F8" s="12">
        <v>45663</v>
      </c>
    </row>
    <row r="9" spans="1:6" ht="17" x14ac:dyDescent="0.2">
      <c r="A9" s="3" t="str">
        <v>Safety &amp; Emergency</v>
      </c>
      <c r="B9" s="4" t="str">
        <v>Locate Crew</v>
      </c>
      <c r="C9" s="3" t="str">
        <v>Crew Pulse</v>
      </c>
      <c r="D9" s="3" t="str">
        <v>SD</v>
      </c>
      <c r="E9" s="12">
        <v>45931</v>
      </c>
      <c r="F9" s="12">
        <v>45663</v>
      </c>
    </row>
    <row r="10" spans="1:6" ht="17" x14ac:dyDescent="0.2">
      <c r="A10" s="3" t="str">
        <v>Duty Preparation</v>
      </c>
      <c r="B10" s="4" t="str">
        <v>Flight Details 2.0:  Crew Hotel</v>
      </c>
      <c r="C10" s="3" t="str">
        <v>Crew Pulse</v>
      </c>
      <c r="D10" s="3" t="str">
        <v>SD</v>
      </c>
      <c r="E10" s="12">
        <v>45931</v>
      </c>
      <c r="F10" s="12">
        <v>45663</v>
      </c>
    </row>
    <row r="11" spans="1:6" ht="17" x14ac:dyDescent="0.2">
      <c r="A11" s="3"/>
      <c r="B11" s="4"/>
      <c r="C11" s="3"/>
      <c r="D11" s="3"/>
      <c r="E11" s="12"/>
      <c r="F11" s="12"/>
    </row>
    <row r="12" spans="1:6" ht="17" x14ac:dyDescent="0.2">
      <c r="A12" s="3"/>
      <c r="B12" s="4"/>
      <c r="C12" s="3"/>
      <c r="D12" s="3"/>
      <c r="E12" s="12"/>
      <c r="F12" s="12"/>
    </row>
    <row r="13" spans="1:6" ht="17" x14ac:dyDescent="0.2">
      <c r="A13" s="3"/>
      <c r="B13" s="4"/>
      <c r="C13" s="3"/>
      <c r="D13" s="3"/>
      <c r="E13" s="12"/>
      <c r="F13" s="12"/>
    </row>
    <row r="14" spans="1:6" ht="17" x14ac:dyDescent="0.2">
      <c r="A14" s="3"/>
      <c r="B14" s="4"/>
      <c r="C14" s="3"/>
      <c r="D14" s="3"/>
      <c r="E14" s="12"/>
      <c r="F14" s="12"/>
    </row>
    <row r="15" spans="1:6" x14ac:dyDescent="0.2">
      <c r="A15" s="3"/>
      <c r="B15" s="4"/>
      <c r="C15" s="3"/>
      <c r="D15" s="3"/>
      <c r="E15" s="12"/>
      <c r="F15" s="12"/>
    </row>
    <row r="16" spans="1:6" x14ac:dyDescent="0.2">
      <c r="A16" s="3"/>
      <c r="B16" s="4"/>
      <c r="C16" s="3"/>
      <c r="D16" s="3"/>
      <c r="E16" s="12"/>
      <c r="F16" s="12"/>
    </row>
    <row r="17" spans="1:6" x14ac:dyDescent="0.2">
      <c r="A17" s="3"/>
      <c r="B17" s="4"/>
      <c r="C17" s="3"/>
      <c r="D17" s="3"/>
      <c r="E17" s="12"/>
      <c r="F17" s="12"/>
    </row>
    <row r="18" spans="1:6" x14ac:dyDescent="0.2">
      <c r="A18" s="3"/>
      <c r="B18" s="4"/>
      <c r="C18" s="3"/>
      <c r="D18" s="3"/>
      <c r="E18" s="12"/>
      <c r="F18" s="12"/>
    </row>
    <row r="19" spans="1:6" x14ac:dyDescent="0.2">
      <c r="A19" s="3"/>
      <c r="B19" s="4"/>
      <c r="C19" s="3"/>
      <c r="D19" s="3"/>
      <c r="E19" s="12"/>
      <c r="F19" s="12"/>
    </row>
    <row r="20" spans="1:6" x14ac:dyDescent="0.2">
      <c r="A20" s="3"/>
      <c r="B20" s="4"/>
      <c r="C20" s="3"/>
      <c r="D20" s="3"/>
      <c r="E20" s="12"/>
      <c r="F20" s="12"/>
    </row>
    <row r="21" spans="1:6" x14ac:dyDescent="0.2">
      <c r="A21" s="3"/>
      <c r="B21" s="4"/>
      <c r="C21" s="3"/>
      <c r="D21" s="3"/>
      <c r="E21" s="12"/>
      <c r="F21" s="12"/>
    </row>
    <row r="22" spans="1:6" x14ac:dyDescent="0.2">
      <c r="A22" s="3"/>
      <c r="B22" s="4"/>
      <c r="C22" s="3"/>
      <c r="D22" s="3"/>
      <c r="E22" s="12"/>
      <c r="F22" s="12"/>
    </row>
    <row r="23" spans="1:6" x14ac:dyDescent="0.2">
      <c r="A23" s="3"/>
      <c r="B23" s="4"/>
      <c r="C23" s="3"/>
      <c r="D23" s="3"/>
      <c r="E23" s="12"/>
      <c r="F23" s="12"/>
    </row>
    <row r="24" spans="1:6" x14ac:dyDescent="0.2">
      <c r="A24" s="3"/>
      <c r="B24" s="4"/>
      <c r="C24" s="3"/>
      <c r="D24" s="3"/>
      <c r="E24" s="12"/>
      <c r="F24" s="12"/>
    </row>
    <row r="25" spans="1:6" x14ac:dyDescent="0.2">
      <c r="A25" s="3"/>
      <c r="B25" s="4"/>
      <c r="C25" s="3"/>
      <c r="D25" s="3"/>
      <c r="E25" s="12"/>
      <c r="F25" s="12"/>
    </row>
    <row r="26" spans="1:6" x14ac:dyDescent="0.2">
      <c r="A26" s="3"/>
      <c r="B26" s="4"/>
      <c r="C26" s="3"/>
      <c r="D26" s="3"/>
      <c r="E26" s="12"/>
      <c r="F26" s="12"/>
    </row>
    <row r="27" spans="1:6" x14ac:dyDescent="0.2">
      <c r="A27" s="3"/>
      <c r="B27" s="4"/>
      <c r="C27" s="3"/>
      <c r="D27" s="3"/>
      <c r="E27" s="12"/>
      <c r="F27" s="12"/>
    </row>
    <row r="28" spans="1:6" x14ac:dyDescent="0.2">
      <c r="A28" s="3"/>
      <c r="B28" s="4"/>
      <c r="C28" s="3"/>
      <c r="D28" s="3"/>
      <c r="E28" s="12"/>
      <c r="F28" s="12"/>
    </row>
    <row r="29" spans="1:6" x14ac:dyDescent="0.2">
      <c r="A29" s="3"/>
      <c r="B29" s="4"/>
      <c r="C29" s="3"/>
      <c r="D29" s="3"/>
      <c r="E29" s="12"/>
      <c r="F29" s="12"/>
    </row>
    <row r="30" spans="1:6" x14ac:dyDescent="0.2">
      <c r="A30" s="3"/>
      <c r="B30" s="4"/>
      <c r="C30" s="3"/>
      <c r="D30" s="3"/>
      <c r="E30" s="12"/>
      <c r="F30" s="12"/>
    </row>
    <row r="31" spans="1:6" x14ac:dyDescent="0.2">
      <c r="A31" s="3"/>
      <c r="B31" s="4"/>
      <c r="C31" s="3"/>
      <c r="D31" s="3"/>
      <c r="E31" s="12"/>
      <c r="F31" s="12"/>
    </row>
    <row r="32" spans="1:6" x14ac:dyDescent="0.2">
      <c r="A32" s="3"/>
      <c r="B32" s="4"/>
      <c r="C32" s="3"/>
      <c r="D32" s="3"/>
      <c r="E32" s="12"/>
      <c r="F32" s="12"/>
    </row>
    <row r="33" spans="1:6" x14ac:dyDescent="0.2">
      <c r="A33" s="3"/>
      <c r="B33" s="4"/>
      <c r="C33" s="3"/>
      <c r="D33" s="3"/>
      <c r="E33" s="12"/>
      <c r="F33" s="12"/>
    </row>
    <row r="34" spans="1:6" x14ac:dyDescent="0.2">
      <c r="A34" s="3"/>
      <c r="B34" s="4"/>
      <c r="C34" s="3"/>
      <c r="D34" s="3"/>
      <c r="E34" s="12"/>
      <c r="F34" s="12"/>
    </row>
    <row r="35" spans="1:6" x14ac:dyDescent="0.2">
      <c r="A35" s="3"/>
      <c r="B35" s="4"/>
      <c r="C35" s="3"/>
      <c r="D35" s="3"/>
      <c r="E35" s="12"/>
      <c r="F35" s="12"/>
    </row>
    <row r="36" spans="1:6" x14ac:dyDescent="0.2">
      <c r="A36" s="3"/>
      <c r="B36" s="4"/>
      <c r="C36" s="3"/>
      <c r="D36" s="3"/>
      <c r="E36" s="12"/>
      <c r="F36" s="12"/>
    </row>
    <row r="37" spans="1:6" x14ac:dyDescent="0.2">
      <c r="A37" s="3"/>
      <c r="B37" s="4"/>
      <c r="C37" s="3"/>
      <c r="D37" s="3"/>
      <c r="E37" s="12"/>
      <c r="F37" s="12"/>
    </row>
    <row r="38" spans="1:6" x14ac:dyDescent="0.2">
      <c r="A38" s="3"/>
      <c r="B38" s="4"/>
      <c r="C38" s="3"/>
      <c r="D38" s="3"/>
      <c r="E38" s="12"/>
      <c r="F38" s="12"/>
    </row>
    <row r="39" spans="1:6" x14ac:dyDescent="0.2">
      <c r="A39" s="3"/>
      <c r="B39" s="4"/>
      <c r="C39" s="3"/>
      <c r="D39" s="3"/>
      <c r="E39" s="12"/>
      <c r="F39" s="12"/>
    </row>
    <row r="40" spans="1:6" x14ac:dyDescent="0.2">
      <c r="A40" s="3"/>
      <c r="B40" s="4"/>
      <c r="C40" s="3"/>
      <c r="D40" s="3"/>
      <c r="E40" s="12"/>
      <c r="F40" s="12"/>
    </row>
    <row r="41" spans="1:6" x14ac:dyDescent="0.2">
      <c r="A41" s="3"/>
      <c r="B41" s="4"/>
      <c r="C41" s="3"/>
      <c r="D41" s="3"/>
      <c r="E41" s="12"/>
      <c r="F41" s="12"/>
    </row>
    <row r="42" spans="1:6" x14ac:dyDescent="0.2">
      <c r="A42" s="3"/>
      <c r="B42" s="4"/>
      <c r="C42" s="3"/>
      <c r="D42" s="3"/>
      <c r="E42" s="12"/>
      <c r="F42" s="12"/>
    </row>
    <row r="43" spans="1:6" x14ac:dyDescent="0.2">
      <c r="A43" s="3"/>
      <c r="B43" s="4"/>
      <c r="C43" s="3"/>
      <c r="D43" s="3"/>
      <c r="E43" s="12"/>
      <c r="F43" s="12"/>
    </row>
    <row r="44" spans="1:6" x14ac:dyDescent="0.2">
      <c r="A44" s="3"/>
      <c r="B44" s="4"/>
      <c r="C44" s="3"/>
      <c r="D44" s="3"/>
      <c r="E44" s="12"/>
      <c r="F44" s="12"/>
    </row>
    <row r="45" spans="1:6" x14ac:dyDescent="0.2">
      <c r="A45" s="3"/>
      <c r="B45" s="4"/>
      <c r="C45" s="3"/>
      <c r="D45" s="3"/>
      <c r="E45" s="12"/>
      <c r="F45" s="12"/>
    </row>
    <row r="46" spans="1:6" x14ac:dyDescent="0.2">
      <c r="A46" s="3"/>
      <c r="B46" s="4"/>
      <c r="C46" s="3"/>
      <c r="D46" s="3"/>
      <c r="E46" s="12"/>
      <c r="F46" s="12"/>
    </row>
    <row r="47" spans="1:6" x14ac:dyDescent="0.2">
      <c r="A47" s="3"/>
      <c r="B47" s="4"/>
      <c r="C47" s="3"/>
      <c r="D47" s="3"/>
      <c r="E47" s="12"/>
      <c r="F47" s="12"/>
    </row>
    <row r="48" spans="1:6" x14ac:dyDescent="0.2">
      <c r="A48" s="3"/>
      <c r="B48" s="4"/>
      <c r="C48" s="3"/>
      <c r="D48" s="3"/>
      <c r="E48" s="12"/>
      <c r="F48" s="12"/>
    </row>
    <row r="49" spans="1:6" x14ac:dyDescent="0.2">
      <c r="A49" s="3"/>
      <c r="B49" s="4"/>
      <c r="C49" s="3"/>
      <c r="D49" s="3"/>
      <c r="E49" s="12"/>
      <c r="F49" s="12"/>
    </row>
    <row r="50" spans="1:6" x14ac:dyDescent="0.2">
      <c r="A50" s="3"/>
      <c r="B50" s="4"/>
      <c r="C50" s="3"/>
      <c r="D50" s="3"/>
      <c r="E50" s="12"/>
      <c r="F50" s="12"/>
    </row>
  </sheetData>
  <pageMargins left="0.7" right="0.7" top="0.75" bottom="0.75" header="0.3" footer="0.3"/>
  <pageSetup paperSize="9" orientation="portrait" horizontalDpi="0" verticalDpi="0"/>
  <headerFooter>
    <oddFooter>&amp;L_x000D_&amp;1#&amp;"Calibri"&amp;6&amp;K737373 BUSINESS DOCUMENT  This document is intended for business use and should be distributed to intended recipients only.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FD381-ED19-7D4F-8D52-E0E55FAA4D0B}">
  <dimension ref="A1:F59"/>
  <sheetViews>
    <sheetView workbookViewId="0">
      <selection activeCell="H6" sqref="H6"/>
    </sheetView>
  </sheetViews>
  <sheetFormatPr baseColWidth="10" defaultRowHeight="16" x14ac:dyDescent="0.2"/>
  <cols>
    <col min="1" max="1" width="31" customWidth="1"/>
    <col min="2" max="2" width="60.6640625" style="1" customWidth="1"/>
    <col min="3" max="3" width="18" customWidth="1"/>
    <col min="5" max="6" width="10.83203125" style="13"/>
  </cols>
  <sheetData>
    <row r="1" spans="1:6" ht="19" x14ac:dyDescent="0.25">
      <c r="A1" s="2" t="s">
        <v>0</v>
      </c>
      <c r="B1" s="2" t="s">
        <v>1</v>
      </c>
      <c r="C1" s="2" t="s">
        <v>4</v>
      </c>
      <c r="D1" s="2" t="s">
        <v>5</v>
      </c>
      <c r="E1" s="11" t="s">
        <v>2</v>
      </c>
      <c r="F1" s="11" t="s">
        <v>3</v>
      </c>
    </row>
    <row r="2" spans="1:6" ht="17" x14ac:dyDescent="0.2">
      <c r="A2" s="3" t="str" cm="1">
        <f t="array" ref="A2:F21">_xlfn.LET(_xlpm.data,_xlfn._xlws.FILTER(_xlfn.CHOOSECOLS(Master!A2:G94,1,2,3,4,6,7),Master!E2:E94="Later",""),IF(_xlpm.data=0,"",_xlpm.data))</f>
        <v>Crew Comms. &amp; Engagement</v>
      </c>
      <c r="B2" s="4" t="str">
        <v>Notifiations to Crew based on the A/C registration number.</v>
      </c>
      <c r="C2" s="3" t="str">
        <v>Crew Pulse</v>
      </c>
      <c r="D2" s="3" t="str">
        <v>FO</v>
      </c>
      <c r="E2" s="12">
        <v>46029</v>
      </c>
      <c r="F2" s="12">
        <v>46142</v>
      </c>
    </row>
    <row r="3" spans="1:6" ht="17" x14ac:dyDescent="0.2">
      <c r="A3" s="3" t="str">
        <v>Performance &amp; HR</v>
      </c>
      <c r="B3" s="4" t="str">
        <v>Crew Pulse - submission of EL, PTLB and Parental leave</v>
      </c>
      <c r="C3" s="3" t="str">
        <v>Crew Pulse</v>
      </c>
      <c r="D3" s="3" t="str">
        <v>FO</v>
      </c>
      <c r="E3" s="12">
        <v>46029</v>
      </c>
      <c r="F3" s="12">
        <v>46142</v>
      </c>
    </row>
    <row r="4" spans="1:6" ht="51" x14ac:dyDescent="0.2">
      <c r="A4" s="3" t="str">
        <v>Crew Comms. &amp; Engagement</v>
      </c>
      <c r="B4" s="4" t="str">
        <v xml:space="preserve">Chatbot to manage Crew calls during disruption based on criticality
Notification improvements 
</v>
      </c>
      <c r="C4" s="3" t="str">
        <v>Crew Pulse</v>
      </c>
      <c r="D4" s="3" t="str">
        <v>FO</v>
      </c>
      <c r="E4" s="12">
        <v>46029</v>
      </c>
      <c r="F4" s="12">
        <v>46142</v>
      </c>
    </row>
    <row r="5" spans="1:6" ht="34" x14ac:dyDescent="0.2">
      <c r="A5" s="3" t="str">
        <v/>
      </c>
      <c r="B5" s="4" t="str">
        <v>UAE national new joiner pilots not to receive Foreign conversion alert when PPCINI is added in IOB.</v>
      </c>
      <c r="C5" s="3" t="str">
        <v>Cruise</v>
      </c>
      <c r="D5" s="3" t="str">
        <v>FO</v>
      </c>
      <c r="E5" s="12">
        <v>46029</v>
      </c>
      <c r="F5" s="12">
        <v>46142</v>
      </c>
    </row>
    <row r="6" spans="1:6" ht="17" x14ac:dyDescent="0.2">
      <c r="A6" s="3" t="str">
        <v>Duty Preparation</v>
      </c>
      <c r="B6" s="4" t="str">
        <v>Crew Pulse Check-in Requirement - Discussion on New Features</v>
      </c>
      <c r="C6" s="3" t="str">
        <v xml:space="preserve">Crew Pulse </v>
      </c>
      <c r="D6" s="3" t="str">
        <v>FO</v>
      </c>
      <c r="E6" s="12">
        <v>46029</v>
      </c>
      <c r="F6" s="12">
        <v>46142</v>
      </c>
    </row>
    <row r="7" spans="1:6" ht="17" x14ac:dyDescent="0.2">
      <c r="A7" s="3" t="str">
        <v>Duty Preparation</v>
      </c>
      <c r="B7" s="4" t="str">
        <v>Crew Bus Tracking (Cabin Crew Landside Transport)</v>
      </c>
      <c r="C7" s="3" t="str">
        <v>Crew Pulse</v>
      </c>
      <c r="D7" s="3" t="str">
        <v>SD</v>
      </c>
      <c r="E7" s="12">
        <v>46029</v>
      </c>
      <c r="F7" s="12">
        <v>46142</v>
      </c>
    </row>
    <row r="8" spans="1:6" ht="17" x14ac:dyDescent="0.2">
      <c r="A8" s="3" t="str">
        <v>Crew Comms. &amp; Engagement</v>
      </c>
      <c r="B8" s="4" t="str">
        <v>Chatbot &amp; Live Chat</v>
      </c>
      <c r="C8" s="3" t="str">
        <v>Crew Pulse</v>
      </c>
      <c r="D8" s="3" t="str">
        <v>SD</v>
      </c>
      <c r="E8" s="12">
        <v>46029</v>
      </c>
      <c r="F8" s="12">
        <v>46142</v>
      </c>
    </row>
    <row r="9" spans="1:6" ht="17" x14ac:dyDescent="0.2">
      <c r="A9" s="3" t="str">
        <v>Crew Comms. &amp; Engagement</v>
      </c>
      <c r="B9" s="4" t="str">
        <v>Crew Connect Token Request</v>
      </c>
      <c r="C9" s="3" t="str">
        <v>Crew Pulse</v>
      </c>
      <c r="D9" s="3" t="str">
        <v>SD</v>
      </c>
      <c r="E9" s="12">
        <v>46029</v>
      </c>
      <c r="F9" s="12">
        <v>46142</v>
      </c>
    </row>
    <row r="10" spans="1:6" ht="17" x14ac:dyDescent="0.2">
      <c r="A10" s="3" t="str">
        <v>Crew Comms. &amp; Engagement</v>
      </c>
      <c r="B10" s="4" t="str">
        <v>Crew Pulse module for Crew Connect Services</v>
      </c>
      <c r="C10" s="3" t="str">
        <v>Crew Pulse</v>
      </c>
      <c r="D10" s="3" t="str">
        <v>SD</v>
      </c>
      <c r="E10" s="12">
        <v>46029</v>
      </c>
      <c r="F10" s="12">
        <v>46142</v>
      </c>
    </row>
    <row r="11" spans="1:6" ht="17" x14ac:dyDescent="0.2">
      <c r="A11" s="3" t="str">
        <v/>
      </c>
      <c r="B11" s="4" t="str">
        <v xml:space="preserve">Chatbot to have automation on alerts for concern Alerts </v>
      </c>
      <c r="C11" s="3" t="str">
        <v>Paradise</v>
      </c>
      <c r="D11" s="3" t="str">
        <v>SD</v>
      </c>
      <c r="E11" s="12">
        <v>46029</v>
      </c>
      <c r="F11" s="12">
        <v>46142</v>
      </c>
    </row>
    <row r="12" spans="1:6" ht="17" x14ac:dyDescent="0.2">
      <c r="A12" s="3" t="str">
        <v>Performance &amp; HR</v>
      </c>
      <c r="B12" s="4" t="str">
        <v xml:space="preserve">Crew to Report SK via Crew Pulse </v>
      </c>
      <c r="C12" s="3" t="str">
        <v>Crew Pulse</v>
      </c>
      <c r="D12" s="3" t="str">
        <v>SD</v>
      </c>
      <c r="E12" s="12">
        <v>46029</v>
      </c>
      <c r="F12" s="12">
        <v>46142</v>
      </c>
    </row>
    <row r="13" spans="1:6" ht="17" x14ac:dyDescent="0.2">
      <c r="A13" s="3" t="str">
        <v>Duty Preparation</v>
      </c>
      <c r="B13" s="4" t="str">
        <v>Access to SOPs</v>
      </c>
      <c r="C13" s="3" t="str">
        <v>Crew Pulse</v>
      </c>
      <c r="D13" s="3" t="str">
        <v>SD</v>
      </c>
      <c r="E13" s="12">
        <v>46029</v>
      </c>
      <c r="F13" s="12">
        <v>46142</v>
      </c>
    </row>
    <row r="14" spans="1:6" ht="17" x14ac:dyDescent="0.2">
      <c r="A14" s="3" t="str">
        <v>Post-Flight</v>
      </c>
      <c r="B14" s="4" t="str">
        <v xml:space="preserve">Destination Pages - Contextualised Content to Cabin Crew </v>
      </c>
      <c r="C14" s="3" t="str">
        <v>Crew Pulse</v>
      </c>
      <c r="D14" s="3" t="str">
        <v>SD</v>
      </c>
      <c r="E14" s="12">
        <v>46029</v>
      </c>
      <c r="F14" s="12">
        <v>46142</v>
      </c>
    </row>
    <row r="15" spans="1:6" x14ac:dyDescent="0.2">
      <c r="A15" s="3" t="str">
        <v>Duty Preparation</v>
      </c>
      <c r="B15" s="4" t="str">
        <v>Flight Details 2.0:  Crew Rest</v>
      </c>
      <c r="C15" s="3" t="str">
        <v>Crew Pulse</v>
      </c>
      <c r="D15" s="3" t="str">
        <v>SD</v>
      </c>
      <c r="E15" s="12">
        <v>46029</v>
      </c>
      <c r="F15" s="12">
        <v>46142</v>
      </c>
    </row>
    <row r="16" spans="1:6" x14ac:dyDescent="0.2">
      <c r="A16" s="3" t="str">
        <v>Duty Preparation</v>
      </c>
      <c r="B16" s="4" t="str">
        <v>Flight Details 2.0: Service Details Enhancements</v>
      </c>
      <c r="C16" s="3" t="str">
        <v>Crew Pulse</v>
      </c>
      <c r="D16" s="3" t="str">
        <v>SD</v>
      </c>
      <c r="E16" s="12">
        <v>46029</v>
      </c>
      <c r="F16" s="12">
        <v>46142</v>
      </c>
    </row>
    <row r="17" spans="1:6" x14ac:dyDescent="0.2">
      <c r="A17" s="3" t="str">
        <v>Safety &amp; Emergency</v>
      </c>
      <c r="B17" s="4" t="str">
        <v>Safe Talk</v>
      </c>
      <c r="C17" s="3" t="str">
        <v>Crew Pulse</v>
      </c>
      <c r="D17" s="3" t="str">
        <v>SD</v>
      </c>
      <c r="E17" s="12">
        <v>46029</v>
      </c>
      <c r="F17" s="12">
        <v>46142</v>
      </c>
    </row>
    <row r="18" spans="1:6" x14ac:dyDescent="0.2">
      <c r="A18" s="3" t="str">
        <v>Duty Preparation</v>
      </c>
      <c r="B18" s="4" t="str">
        <v>Aircraft Details 2.0</v>
      </c>
      <c r="C18" s="3" t="str">
        <v>Crew Pulse</v>
      </c>
      <c r="D18" s="3" t="str">
        <v>SD</v>
      </c>
      <c r="E18" s="12">
        <v>46029</v>
      </c>
      <c r="F18" s="12">
        <v>46142</v>
      </c>
    </row>
    <row r="19" spans="1:6" x14ac:dyDescent="0.2">
      <c r="A19" s="3" t="str">
        <v>Crew Comms. &amp; Engagement</v>
      </c>
      <c r="B19" s="4" t="str">
        <v>Widgets</v>
      </c>
      <c r="C19" s="3" t="str">
        <v>Crew Pulse</v>
      </c>
      <c r="D19" s="3" t="str">
        <v>SD</v>
      </c>
      <c r="E19" s="12">
        <v>46029</v>
      </c>
      <c r="F19" s="12">
        <v>46142</v>
      </c>
    </row>
    <row r="20" spans="1:6" x14ac:dyDescent="0.2">
      <c r="A20" s="3" t="str">
        <v>Crew Comms. &amp; Engagement</v>
      </c>
      <c r="B20" s="4" t="str">
        <v>Microlearning</v>
      </c>
      <c r="C20" s="3" t="str">
        <v>Crew Pulse</v>
      </c>
      <c r="D20" s="3" t="str">
        <v>SD</v>
      </c>
      <c r="E20" s="12">
        <v>46029</v>
      </c>
      <c r="F20" s="12">
        <v>46142</v>
      </c>
    </row>
    <row r="21" spans="1:6" x14ac:dyDescent="0.2">
      <c r="A21" s="3" t="str">
        <v>Duty Preparation</v>
      </c>
      <c r="B21" s="4" t="str">
        <v>Crew Meal Pre-Order</v>
      </c>
      <c r="C21" s="3" t="str">
        <v>Crew Pulse</v>
      </c>
      <c r="D21" s="3" t="str">
        <v>SD</v>
      </c>
      <c r="E21" s="12">
        <v>46029</v>
      </c>
      <c r="F21" s="12">
        <v>46142</v>
      </c>
    </row>
    <row r="22" spans="1:6" x14ac:dyDescent="0.2">
      <c r="A22" s="3"/>
      <c r="B22" s="4"/>
      <c r="C22" s="3"/>
      <c r="D22" s="3"/>
      <c r="E22" s="12"/>
      <c r="F22" s="12"/>
    </row>
    <row r="23" spans="1:6" x14ac:dyDescent="0.2">
      <c r="A23" s="3"/>
      <c r="B23" s="4"/>
      <c r="C23" s="3"/>
      <c r="D23" s="3"/>
      <c r="E23" s="12"/>
      <c r="F23" s="12"/>
    </row>
    <row r="24" spans="1:6" x14ac:dyDescent="0.2">
      <c r="A24" s="3"/>
      <c r="B24" s="4"/>
      <c r="C24" s="3"/>
      <c r="D24" s="3"/>
      <c r="E24" s="12"/>
      <c r="F24" s="12"/>
    </row>
    <row r="25" spans="1:6" x14ac:dyDescent="0.2">
      <c r="A25" s="3"/>
      <c r="B25" s="4"/>
      <c r="C25" s="3"/>
      <c r="D25" s="3"/>
      <c r="E25" s="12"/>
      <c r="F25" s="12"/>
    </row>
    <row r="26" spans="1:6" x14ac:dyDescent="0.2">
      <c r="A26" s="3"/>
      <c r="B26" s="4"/>
      <c r="C26" s="3"/>
      <c r="D26" s="3"/>
      <c r="E26" s="12"/>
      <c r="F26" s="12"/>
    </row>
    <row r="27" spans="1:6" x14ac:dyDescent="0.2">
      <c r="A27" s="3"/>
      <c r="B27" s="4"/>
      <c r="C27" s="3"/>
      <c r="D27" s="3"/>
      <c r="E27" s="12"/>
      <c r="F27" s="12"/>
    </row>
    <row r="28" spans="1:6" x14ac:dyDescent="0.2">
      <c r="A28" s="3"/>
      <c r="B28" s="4"/>
      <c r="C28" s="3"/>
      <c r="D28" s="3"/>
      <c r="E28" s="12"/>
      <c r="F28" s="12"/>
    </row>
    <row r="29" spans="1:6" x14ac:dyDescent="0.2">
      <c r="A29" s="3"/>
      <c r="B29" s="4"/>
      <c r="C29" s="3"/>
      <c r="D29" s="3"/>
      <c r="E29" s="12"/>
      <c r="F29" s="12"/>
    </row>
    <row r="30" spans="1:6" x14ac:dyDescent="0.2">
      <c r="A30" s="3"/>
      <c r="B30" s="4"/>
      <c r="C30" s="3"/>
      <c r="D30" s="3"/>
      <c r="E30" s="12"/>
      <c r="F30" s="12"/>
    </row>
    <row r="31" spans="1:6" x14ac:dyDescent="0.2">
      <c r="A31" s="3"/>
      <c r="B31" s="4"/>
      <c r="C31" s="3"/>
      <c r="D31" s="3"/>
      <c r="E31" s="12"/>
      <c r="F31" s="12"/>
    </row>
    <row r="32" spans="1:6" x14ac:dyDescent="0.2">
      <c r="A32" s="3"/>
      <c r="B32" s="4"/>
      <c r="C32" s="3"/>
      <c r="D32" s="3"/>
      <c r="E32" s="12"/>
      <c r="F32" s="12"/>
    </row>
    <row r="33" spans="1:6" x14ac:dyDescent="0.2">
      <c r="A33" s="3"/>
      <c r="B33" s="4"/>
      <c r="C33" s="3"/>
      <c r="D33" s="3"/>
      <c r="E33" s="12"/>
      <c r="F33" s="12"/>
    </row>
    <row r="34" spans="1:6" x14ac:dyDescent="0.2">
      <c r="A34" s="3"/>
      <c r="B34" s="4"/>
      <c r="C34" s="3"/>
      <c r="D34" s="3"/>
      <c r="E34" s="12"/>
      <c r="F34" s="12"/>
    </row>
    <row r="35" spans="1:6" x14ac:dyDescent="0.2">
      <c r="A35" s="3"/>
      <c r="B35" s="4"/>
      <c r="C35" s="3"/>
      <c r="D35" s="3"/>
      <c r="E35" s="12"/>
      <c r="F35" s="12"/>
    </row>
    <row r="36" spans="1:6" x14ac:dyDescent="0.2">
      <c r="A36" s="3"/>
      <c r="B36" s="4"/>
      <c r="C36" s="3"/>
      <c r="D36" s="3"/>
      <c r="E36" s="12"/>
      <c r="F36" s="12"/>
    </row>
    <row r="37" spans="1:6" x14ac:dyDescent="0.2">
      <c r="A37" s="3"/>
      <c r="B37" s="4"/>
      <c r="C37" s="3"/>
      <c r="D37" s="3"/>
      <c r="E37" s="12"/>
      <c r="F37" s="12"/>
    </row>
    <row r="38" spans="1:6" x14ac:dyDescent="0.2">
      <c r="A38" s="3"/>
      <c r="B38" s="4"/>
      <c r="C38" s="3"/>
      <c r="D38" s="3"/>
      <c r="E38" s="12"/>
      <c r="F38" s="12"/>
    </row>
    <row r="39" spans="1:6" x14ac:dyDescent="0.2">
      <c r="A39" s="3"/>
      <c r="B39" s="4"/>
      <c r="C39" s="3"/>
      <c r="D39" s="3"/>
      <c r="E39" s="12"/>
      <c r="F39" s="12"/>
    </row>
    <row r="40" spans="1:6" x14ac:dyDescent="0.2">
      <c r="A40" s="3"/>
      <c r="B40" s="4"/>
      <c r="C40" s="3"/>
      <c r="D40" s="3"/>
      <c r="E40" s="12"/>
      <c r="F40" s="12"/>
    </row>
    <row r="41" spans="1:6" x14ac:dyDescent="0.2">
      <c r="A41" s="3"/>
      <c r="B41" s="4"/>
      <c r="C41" s="3"/>
      <c r="D41" s="3"/>
      <c r="E41" s="12"/>
      <c r="F41" s="12"/>
    </row>
    <row r="42" spans="1:6" x14ac:dyDescent="0.2">
      <c r="A42" s="3"/>
      <c r="B42" s="4"/>
      <c r="C42" s="3"/>
      <c r="D42" s="3"/>
      <c r="E42" s="12"/>
      <c r="F42" s="12"/>
    </row>
    <row r="43" spans="1:6" x14ac:dyDescent="0.2">
      <c r="A43" s="3"/>
      <c r="B43" s="4"/>
      <c r="C43" s="3"/>
      <c r="D43" s="3"/>
      <c r="E43" s="12"/>
      <c r="F43" s="12"/>
    </row>
    <row r="44" spans="1:6" x14ac:dyDescent="0.2">
      <c r="A44" s="3"/>
      <c r="B44" s="4"/>
      <c r="C44" s="3"/>
      <c r="D44" s="3"/>
      <c r="E44" s="12"/>
      <c r="F44" s="12"/>
    </row>
    <row r="45" spans="1:6" x14ac:dyDescent="0.2">
      <c r="A45" s="3"/>
      <c r="B45" s="4"/>
      <c r="C45" s="3"/>
      <c r="D45" s="3"/>
      <c r="E45" s="12"/>
      <c r="F45" s="12"/>
    </row>
    <row r="46" spans="1:6" x14ac:dyDescent="0.2">
      <c r="A46" s="3"/>
      <c r="B46" s="4"/>
      <c r="C46" s="3"/>
      <c r="D46" s="3"/>
      <c r="E46" s="12"/>
      <c r="F46" s="12"/>
    </row>
    <row r="47" spans="1:6" x14ac:dyDescent="0.2">
      <c r="A47" s="3"/>
      <c r="B47" s="4"/>
      <c r="C47" s="3"/>
      <c r="D47" s="3"/>
      <c r="E47" s="12"/>
      <c r="F47" s="12"/>
    </row>
    <row r="48" spans="1:6" x14ac:dyDescent="0.2">
      <c r="A48" s="3"/>
      <c r="B48" s="4"/>
      <c r="C48" s="3"/>
      <c r="D48" s="3"/>
      <c r="E48" s="12"/>
      <c r="F48" s="12"/>
    </row>
    <row r="49" spans="1:6" x14ac:dyDescent="0.2">
      <c r="A49" s="3"/>
      <c r="B49" s="4"/>
      <c r="C49" s="3"/>
      <c r="D49" s="3"/>
      <c r="E49" s="12"/>
      <c r="F49" s="12"/>
    </row>
    <row r="50" spans="1:6" x14ac:dyDescent="0.2">
      <c r="A50" s="3"/>
      <c r="B50" s="4"/>
      <c r="C50" s="3"/>
      <c r="D50" s="3"/>
      <c r="E50" s="12"/>
      <c r="F50" s="12"/>
    </row>
    <row r="51" spans="1:6" x14ac:dyDescent="0.2">
      <c r="A51" s="3"/>
      <c r="B51" s="4"/>
      <c r="C51" s="3"/>
      <c r="D51" s="3"/>
      <c r="E51" s="12"/>
      <c r="F51" s="12"/>
    </row>
    <row r="52" spans="1:6" x14ac:dyDescent="0.2">
      <c r="A52" s="3"/>
      <c r="B52" s="4"/>
      <c r="C52" s="3"/>
      <c r="D52" s="3"/>
      <c r="E52" s="12"/>
      <c r="F52" s="12"/>
    </row>
    <row r="53" spans="1:6" x14ac:dyDescent="0.2">
      <c r="A53" s="3"/>
      <c r="B53" s="4"/>
      <c r="C53" s="3"/>
      <c r="D53" s="3"/>
      <c r="E53" s="12"/>
      <c r="F53" s="12"/>
    </row>
    <row r="54" spans="1:6" x14ac:dyDescent="0.2">
      <c r="A54" s="3"/>
      <c r="B54" s="4"/>
      <c r="C54" s="3"/>
      <c r="D54" s="3"/>
      <c r="E54" s="12"/>
      <c r="F54" s="12"/>
    </row>
    <row r="55" spans="1:6" x14ac:dyDescent="0.2">
      <c r="A55" s="3"/>
      <c r="B55" s="4"/>
      <c r="C55" s="3"/>
      <c r="D55" s="3"/>
      <c r="E55" s="12"/>
      <c r="F55" s="12"/>
    </row>
    <row r="56" spans="1:6" x14ac:dyDescent="0.2">
      <c r="A56" s="3"/>
      <c r="B56" s="4"/>
      <c r="C56" s="3"/>
      <c r="D56" s="3"/>
      <c r="E56" s="12"/>
      <c r="F56" s="12"/>
    </row>
    <row r="57" spans="1:6" x14ac:dyDescent="0.2">
      <c r="A57" s="3"/>
      <c r="B57" s="4"/>
      <c r="C57" s="3"/>
      <c r="D57" s="3"/>
      <c r="E57" s="12"/>
      <c r="F57" s="12"/>
    </row>
    <row r="58" spans="1:6" x14ac:dyDescent="0.2">
      <c r="A58" s="3"/>
      <c r="B58" s="4"/>
      <c r="C58" s="3"/>
      <c r="D58" s="3"/>
      <c r="E58" s="12"/>
      <c r="F58" s="12"/>
    </row>
    <row r="59" spans="1:6" x14ac:dyDescent="0.2">
      <c r="A59" s="3"/>
      <c r="B59" s="4"/>
      <c r="C59" s="3"/>
      <c r="D59" s="3"/>
      <c r="E59" s="12"/>
      <c r="F59" s="12"/>
    </row>
  </sheetData>
  <pageMargins left="0.7" right="0.7" top="0.75" bottom="0.75" header="0.3" footer="0.3"/>
  <pageSetup paperSize="9" orientation="portrait" horizontalDpi="0" verticalDpi="0"/>
  <headerFooter>
    <oddFooter>&amp;L_x000D_&amp;1#&amp;"Calibri"&amp;6&amp;K737373 BUSINESS DOCUMENT  This document is intended for business use and should be distributed to intended recipients only.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76293-F538-004C-98B7-769061D1C676}">
  <dimension ref="A1:B8"/>
  <sheetViews>
    <sheetView workbookViewId="0">
      <selection activeCell="C2" sqref="C2"/>
    </sheetView>
  </sheetViews>
  <sheetFormatPr baseColWidth="10" defaultRowHeight="16" x14ac:dyDescent="0.2"/>
  <cols>
    <col min="1" max="1" width="24.5" bestFit="1" customWidth="1"/>
    <col min="2" max="2" width="12.1640625" bestFit="1" customWidth="1"/>
  </cols>
  <sheetData>
    <row r="1" spans="1:2" ht="19" x14ac:dyDescent="0.25">
      <c r="A1" s="2" t="s">
        <v>61</v>
      </c>
      <c r="B1" s="2" t="s">
        <v>1</v>
      </c>
    </row>
    <row r="2" spans="1:2" x14ac:dyDescent="0.2">
      <c r="A2" t="s">
        <v>62</v>
      </c>
      <c r="B2" t="s">
        <v>10</v>
      </c>
    </row>
    <row r="3" spans="1:2" x14ac:dyDescent="0.2">
      <c r="A3" t="s">
        <v>66</v>
      </c>
      <c r="B3" t="s">
        <v>10</v>
      </c>
    </row>
    <row r="4" spans="1:2" x14ac:dyDescent="0.2">
      <c r="A4" t="s">
        <v>65</v>
      </c>
      <c r="B4" t="s">
        <v>10</v>
      </c>
    </row>
    <row r="5" spans="1:2" x14ac:dyDescent="0.2">
      <c r="A5" t="s">
        <v>67</v>
      </c>
      <c r="B5" t="s">
        <v>10</v>
      </c>
    </row>
    <row r="6" spans="1:2" x14ac:dyDescent="0.2">
      <c r="A6" t="s">
        <v>63</v>
      </c>
      <c r="B6" t="s">
        <v>10</v>
      </c>
    </row>
    <row r="7" spans="1:2" x14ac:dyDescent="0.2">
      <c r="A7" t="s">
        <v>71</v>
      </c>
      <c r="B7" t="s">
        <v>10</v>
      </c>
    </row>
    <row r="8" spans="1:2" x14ac:dyDescent="0.2">
      <c r="A8" t="s">
        <v>64</v>
      </c>
      <c r="B8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3D652-9C1C-874C-A37A-EED88A3769FD}">
  <dimension ref="A1:C4"/>
  <sheetViews>
    <sheetView workbookViewId="0">
      <selection activeCell="A3" sqref="A3"/>
    </sheetView>
  </sheetViews>
  <sheetFormatPr baseColWidth="10" defaultRowHeight="16" x14ac:dyDescent="0.2"/>
  <cols>
    <col min="1" max="1" width="24.33203125" customWidth="1"/>
  </cols>
  <sheetData>
    <row r="1" spans="1:3" ht="19" x14ac:dyDescent="0.25">
      <c r="A1" s="8" t="s">
        <v>5</v>
      </c>
      <c r="B1" s="8" t="s">
        <v>5</v>
      </c>
      <c r="C1" s="8" t="s">
        <v>5</v>
      </c>
    </row>
    <row r="2" spans="1:3" x14ac:dyDescent="0.2">
      <c r="A2" s="3" t="s">
        <v>12</v>
      </c>
      <c r="B2" s="12">
        <v>45847</v>
      </c>
      <c r="C2" s="12">
        <v>45930</v>
      </c>
    </row>
    <row r="3" spans="1:3" x14ac:dyDescent="0.2">
      <c r="A3" s="14" t="s">
        <v>27</v>
      </c>
      <c r="B3" s="12">
        <v>45931</v>
      </c>
      <c r="C3" s="12">
        <v>45663</v>
      </c>
    </row>
    <row r="4" spans="1:3" x14ac:dyDescent="0.2">
      <c r="A4" s="15" t="s">
        <v>26</v>
      </c>
      <c r="B4" s="12">
        <v>46029</v>
      </c>
      <c r="C4" s="12">
        <v>46142</v>
      </c>
    </row>
  </sheetData>
  <conditionalFormatting sqref="A2">
    <cfRule type="cellIs" dxfId="0" priority="1" operator="equal">
      <formula>$A$2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</vt:lpstr>
      <vt:lpstr>Now</vt:lpstr>
      <vt:lpstr>Next</vt:lpstr>
      <vt:lpstr>Later</vt:lpstr>
      <vt:lpstr>Capabilities</vt:lpstr>
      <vt:lpstr>Phase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Godia</dc:creator>
  <cp:lastModifiedBy>Mathew Godia</cp:lastModifiedBy>
  <dcterms:created xsi:type="dcterms:W3CDTF">2025-07-28T06:31:59Z</dcterms:created>
  <dcterms:modified xsi:type="dcterms:W3CDTF">2025-07-28T13:18:49Z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2025-07-28T08:41:31Z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58ea6668-4c25-46a1-a80d-de6c10304d15</vt:lpwstr>
  </property>
  <property fmtid="{D5CDD505-2E9C-101B-9397-08002B2CF9AE}" pid="8" name="MSIP_Label_c7962db2-8021-4672-ab50-833f15a1c47a_ContentBits">
    <vt:lpwstr>2</vt:lpwstr>
  </property>
  <property fmtid="{D5CDD505-2E9C-101B-9397-08002B2CF9AE}" pid="9" name="MSIP_Label_c7962db2-8021-4672-ab50-833f15a1c47a_Tag">
    <vt:lpwstr>50, 3, 0, 1</vt:lpwstr>
  </property>
</Properties>
</file>